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tvquy\Desktop\"/>
    </mc:Choice>
  </mc:AlternateContent>
  <xr:revisionPtr revIDLastSave="0" documentId="8_{DCDF5272-7533-41D0-9DDD-417E0B971DEA}" xr6:coauthVersionLast="47" xr6:coauthVersionMax="47" xr10:uidLastSave="{00000000-0000-0000-0000-000000000000}"/>
  <bookViews>
    <workbookView xWindow="-120" yWindow="-120" windowWidth="29040" windowHeight="15720" xr2:uid="{00000000-000D-0000-FFFF-FFFF00000000}"/>
  </bookViews>
  <sheets>
    <sheet name="1_TU_DANH_GIA" sheetId="1" r:id="rId1"/>
    <sheet name="2_THANH_VIEN" sheetId="2" r:id="rId2"/>
    <sheet name="3_CHECKLIST_DEMO" sheetId="3" r:id="rId3"/>
    <sheet name="4_HUONG_DAN" sheetId="4" r:id="rId4"/>
    <sheet name="5_DIEM_CONG_NANG_CAO" sheetId="5" r:id="rId5"/>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 i="5" l="1"/>
  <c r="B7" i="5"/>
  <c r="E16" i="2"/>
  <c r="F16" i="2" s="1"/>
  <c r="E40" i="1"/>
  <c r="J39" i="1"/>
  <c r="G39" i="1"/>
  <c r="J38" i="1"/>
  <c r="G38" i="1"/>
  <c r="J37" i="1"/>
  <c r="G37" i="1"/>
  <c r="J36" i="1"/>
  <c r="G36" i="1"/>
  <c r="J35" i="1"/>
  <c r="G35" i="1"/>
  <c r="J34" i="1"/>
  <c r="G34" i="1"/>
  <c r="N6" i="1" s="1"/>
  <c r="J33" i="1"/>
  <c r="G33" i="1"/>
  <c r="J32" i="1"/>
  <c r="G32" i="1"/>
  <c r="J31" i="1"/>
  <c r="G31" i="1"/>
  <c r="J30" i="1"/>
  <c r="G30" i="1"/>
  <c r="J29" i="1"/>
  <c r="G29" i="1"/>
  <c r="J28" i="1"/>
  <c r="G28" i="1"/>
  <c r="J27" i="1"/>
  <c r="G27" i="1"/>
  <c r="J26" i="1"/>
  <c r="G26" i="1"/>
  <c r="N5" i="1" s="1"/>
  <c r="J25" i="1"/>
  <c r="G25" i="1"/>
  <c r="J24" i="1"/>
  <c r="G24" i="1"/>
  <c r="J23" i="1"/>
  <c r="G23" i="1"/>
  <c r="J22" i="1"/>
  <c r="G22" i="1"/>
  <c r="J21" i="1"/>
  <c r="G21" i="1"/>
  <c r="J20" i="1"/>
  <c r="G20" i="1"/>
  <c r="J19" i="1"/>
  <c r="G19" i="1"/>
  <c r="J18" i="1"/>
  <c r="G18" i="1"/>
  <c r="N4" i="1" s="1"/>
  <c r="N9" i="1" s="1"/>
  <c r="J17" i="1"/>
  <c r="G17" i="1"/>
  <c r="J16" i="1"/>
  <c r="G16" i="1"/>
  <c r="G40" i="1" s="1"/>
  <c r="G11" i="1"/>
  <c r="E11" i="1"/>
  <c r="N8" i="1"/>
  <c r="N7" i="1"/>
  <c r="A11" i="1" l="1"/>
  <c r="C11" i="1" s="1"/>
</calcChain>
</file>

<file path=xl/sharedStrings.xml><?xml version="1.0" encoding="utf-8"?>
<sst xmlns="http://schemas.openxmlformats.org/spreadsheetml/2006/main" count="347" uniqueCount="269">
  <si>
    <t>TEMPLATE TỰ ĐÁNH GIÁ ĐỒ ÁN CUỐI KỲ – CRYPTO STRATEGY LAB</t>
  </si>
  <si>
    <t>Tên đề tài</t>
  </si>
  <si>
    <t>Link GitHub</t>
  </si>
  <si>
    <t>Nhóm tiêu chí</t>
  </si>
  <si>
    <t>Điểm tối đa</t>
  </si>
  <si>
    <t>Điểm đạt</t>
  </si>
  <si>
    <t>Nhóm / Lớp</t>
  </si>
  <si>
    <t>Link video demo</t>
  </si>
  <si>
    <t>Kiến trúc phần mềm</t>
  </si>
  <si>
    <t>Trưởng nhóm</t>
  </si>
  <si>
    <t>Link báo cáo</t>
  </si>
  <si>
    <t>Chức năng yêu cầu</t>
  </si>
  <si>
    <t>Ngày tự đánh giá</t>
  </si>
  <si>
    <t>Link hướng dẫn cài đặt</t>
  </si>
  <si>
    <t>Hồ sơ &amp; tài liệu</t>
  </si>
  <si>
    <t>Link deployment (nếu có)</t>
  </si>
  <si>
    <t>Demo &amp; độ tin cậy</t>
  </si>
  <si>
    <t>Thang tự đánh giá 0–4: 0 = chưa có/không chạy; 1 = rất thiếu; 2 = đạt một phần; 3 = đạt yêu cầu cơ bản và demo được; 4 = tốt/vượt yêu cầu, có minh chứng rõ.</t>
  </si>
  <si>
    <t>Mở rộng có giá trị</t>
  </si>
  <si>
    <t>TỔNG</t>
  </si>
  <si>
    <t>TỔNG ĐIỂM / 100</t>
  </si>
  <si>
    <t>QUY ĐỔI / 10</t>
  </si>
  <si>
    <t>TIÊU CHÍ ĐẠT (≥3)</t>
  </si>
  <si>
    <t>THIẾU MINH CHỨNG</t>
  </si>
  <si>
    <t>STT</t>
  </si>
  <si>
    <t>Tiêu chí</t>
  </si>
  <si>
    <t>Yêu cầu cần đạt / minh chứng nên có</t>
  </si>
  <si>
    <t>Mức tự đánh giá
(0–4)</t>
  </si>
  <si>
    <t>Điểm quy đổi</t>
  </si>
  <si>
    <t>Ghi chú / kế hoạch hoàn thiện</t>
  </si>
  <si>
    <t>Cảnh báo</t>
  </si>
  <si>
    <t>A. Kiến trúc phần mềm</t>
  </si>
  <si>
    <t>Khả năng mở rộng Strategy / Plugin</t>
  </si>
  <si>
    <t>Có abstraction/interface Strategy; thêm strategy mới (ví dụ MACD) với thay đổi tối thiểu; không hard-code if/else theo từng strategy.</t>
  </si>
  <si>
    <t>Tách trách nhiệm &amp; giảm coupling</t>
  </si>
  <si>
    <t>Strategy chỉ xử lý logic strategy; tách Market Data, Backtest, Evaluator, Ranking, News, Sentiment, UI; tránh God Service và business logic ở frontend.</t>
  </si>
  <si>
    <t>Khả năng thay thế thành phần</t>
  </si>
  <si>
    <t>Có thể thay Random Search → Domain-guided/Genetic, Binance → provider khác, hoặc sentiment model mà không phải viết lại các module phía sau.</t>
  </si>
  <si>
    <t>Scalability &amp; Performance</t>
  </si>
  <si>
    <t>Giải thích/triển khai hướng mở rộng từ hàng trăm lên nhiều candidate; có queue/worker hoặc giải pháp tương đương khi phù hợp; có đo thời gian backtest.</t>
  </si>
  <si>
    <t>Realtime &amp; Multi-timeframe</t>
  </si>
  <si>
    <t>Realtime flow rõ ràng (stream/WebSocket); tối đa 4 chart, mỗi chart đổi timeframe độc lập; frontend không phụ thuộc trực tiếp schema Binance.</t>
  </si>
  <si>
    <t>Reliability &amp; Observability</t>
  </si>
  <si>
    <t>Có xử lý disconnect/retry/reconnect, lỗi worker/job; theo dõi trạng thái loop, số candidate, thời gian backtest, job lỗi, Top-1 hiện tại.</t>
  </si>
  <si>
    <t>Reproducibility &amp; Versioning</t>
  </si>
  <si>
    <t>Strategy/experiment có version; một kết quả leaderboard truy vết được dataset, timeframe, parameters, strategy version và trade result.</t>
  </si>
  <si>
    <t>B. Chức năng yêu cầu</t>
  </si>
  <si>
    <t>Market Data &amp; Candlestick</t>
  </si>
  <si>
    <t>Lấy historical + realtime data từ Binance; candlestick/volume hiển thị đúng; cập nhật liên tục và ổn định.</t>
  </si>
  <si>
    <t>Strategy Engine ≥ 4 strategy</t>
  </si>
  <si>
    <t>Có ít nhất 4 strategy đơn lẻ (ví dụ MA, RSI, Bollinger, Support/Resistance) theo một contract tín hiệu chuẩn BUY/SELL/HOLD hoặc tương đương.</t>
  </si>
  <si>
    <t>Composite Strategy</t>
  </si>
  <si>
    <t>Kết hợp được nhiều strategy; có quy tắc xử lý xung đột (majority vote, weighted combination hoặc phương pháp khác) và giải thích được.</t>
  </si>
  <si>
    <t>Backtesting Engine</t>
  </si>
  <si>
    <t>Giả lập giao dịch trên historical data; sinh được entry/exit/trades; tách backtest khỏi strategy implementation.</t>
  </si>
  <si>
    <t>Strategy Evaluation</t>
  </si>
  <si>
    <t>Tối thiểu có Return, Win Rate, Max Drawdown, Number of Trades; nên có Profit Factor/Sharpe; evaluator tách riêng.</t>
  </si>
  <si>
    <t>Strategy Search &amp; Stop Condition</t>
  </si>
  <si>
    <t>Có ít nhất Random Search; generate → backtest → evaluate → rank; có điều kiện dừng rõ (số candidate/thời gian/no-improvement).</t>
  </si>
  <si>
    <t>Leaderboard Top-K</t>
  </si>
  <si>
    <t>Hiển thị Top-K strategy; rank/sort theo metric hoặc overall score; candidate mới có thể cập nhật leaderboard.</t>
  </si>
  <si>
    <t>Visualization Strategy &amp; Trade</t>
  </si>
  <si>
    <t>Chart hiển thị Buy/Sell, Entry/Exit và indicator/zone liên quan; xem được trade detail và highlight giao dịch.</t>
  </si>
  <si>
    <t>News Collector</t>
  </si>
  <si>
    <t>Có pipeline collect → normalize → store; provider abstraction; NewsItem có các trường chính như title, content/source, publishedAt, relatedCoins, url.</t>
  </si>
  <si>
    <t>Sentiment Analysis</t>
  </si>
  <si>
    <t>Phân tích POSITIVE/NEUTRAL/NEGATIVE (hoặc score tương đương); kết quả lưu được; có thể tích hợp sentiment thành strategy nếu nhóm triển khai.</t>
  </si>
  <si>
    <t>C. Hồ sơ &amp; tài liệu</t>
  </si>
  <si>
    <t>Source code + README</t>
  </si>
  <si>
    <t>Repository hoàn chỉnh; README có Install, Run, Architecture, Demo; nếu private phải cấp quyền cho giảng viên.</t>
  </si>
  <si>
    <t>Architecture Document</t>
  </si>
  <si>
    <t>Có System Context, module/container decomposition, component responsibilities, Data Flow, Realtime Flow, Strategy Flow, Search/Backtest Flow.</t>
  </si>
  <si>
    <t>Architectural Decision Records (ADR)</t>
  </si>
  <si>
    <t>Có các quyết định chính và lý do: WebSocket/stream, plugin architecture, queue/worker, tách Sentiment Service... hoặc ADR tương đương.</t>
  </si>
  <si>
    <t>Video/demo &amp; link minh chứng</t>
  </si>
  <si>
    <t>Link demo, báo cáo, hướng dẫn cài đặt hoạt động; minh chứng được gắn trực tiếp vào rubric để người chấm kiểm tra nhanh.</t>
  </si>
  <si>
    <t>D. Demo &amp; độ tin cậy</t>
  </si>
  <si>
    <t>Demo end-to-end</t>
  </si>
  <si>
    <t>Trình diễn được flow: dữ liệu realtime → chọn strategy → search → backtest → evaluate → leaderboard → click strategy → visualize → news/sentiment.</t>
  </si>
  <si>
    <t>Scenario kiến trúc / xử lý lỗi</t>
  </si>
  <si>
    <t>Chứng minh ít nhất 2 scenario: thêm MACD ít sửa code; đổi search algorithm; disconnect Binance; News lỗi nhưng chart vẫn chạy; trace strategy version.</t>
  </si>
  <si>
    <t>E. Mở rộng có giá trị</t>
  </si>
  <si>
    <t>Phần nâng cao có mục tiêu kiến trúc rõ</t>
  </si>
  <si>
    <t>Ví dụ Genetic/Bayesian/LLM search, worker pool, multiple exchanges, market regime, ML nâng cao... Chỉ tự chấm cao khi chứng minh công sức, độ phức tạp và vấn đề kiến trúc được giải quyết.</t>
  </si>
  <si>
    <t>PHÂN CÔNG &amp; TỰ ĐÁNH GIÁ ĐÓNG GÓP THÀNH VIÊN</t>
  </si>
  <si>
    <t>Nhập phần trăm đóng góp theo tổng 100%. Ghi rõ module/công việc và minh chứng (commit, PR, file, video hoặc phần báo cáo) để tránh đánh giá cảm tính.</t>
  </si>
  <si>
    <t>MSSV</t>
  </si>
  <si>
    <t>Họ và tên</t>
  </si>
  <si>
    <t>Vai trò chính</t>
  </si>
  <si>
    <t>Đóng góp (%)</t>
  </si>
  <si>
    <t>Công việc đã thực hiện</t>
  </si>
  <si>
    <t>Minh chứng</t>
  </si>
  <si>
    <t>Ghi chú</t>
  </si>
  <si>
    <t>TỔNG ĐÓNG GÓP</t>
  </si>
  <si>
    <t>CHECKLIST DEMO &amp; KIỂM TRA KIẾN TRÚC</t>
  </si>
  <si>
    <t>Dùng sheet này trước khi nộp và trước buổi demo. Mỗi bước nên có người phụ trách và minh chứng ngắn để demo không bị thiếu flow.</t>
  </si>
  <si>
    <t>Bước</t>
  </si>
  <si>
    <t>Kịch bản demo end-to-end</t>
  </si>
  <si>
    <t>Kết quả mong đợi</t>
  </si>
  <si>
    <t>Trạng thái</t>
  </si>
  <si>
    <t>Người phụ trách</t>
  </si>
  <si>
    <t>Mở BTCUSDT với 4 timeframe</t>
  </si>
  <si>
    <t>4 chart realtime (ví dụ 5m | 15m | 1h | 4h) hiển thị ổn định.</t>
  </si>
  <si>
    <t>Chọn MA, RSI, Bollinger, Support/Resistance</t>
  </si>
  <si>
    <t>Các strategy được bật/chọn mà không ảnh hưởng module khác.</t>
  </si>
  <si>
    <t>Bấm START SEARCH</t>
  </si>
  <si>
    <t>Search loop bắt đầu, có trạng thái chạy rõ ràng.</t>
  </si>
  <si>
    <t>Quan sát candidate đang backtest</t>
  </si>
  <si>
    <t>Hiển thị candidate tested/current candidate/backtesting progress hoặc log tương đương.</t>
  </si>
  <si>
    <t>Quan sát Leaderboard cập nhật</t>
  </si>
  <si>
    <t>Top-K thay đổi khi candidate mới có score tốt hơn.</t>
  </si>
  <si>
    <t>Click Top strategy</t>
  </si>
  <si>
    <t>Chart hiển thị strategy, indicator/zone và Buy/Sell.</t>
  </si>
  <si>
    <t>Mở Trade Detail / Metrics</t>
  </si>
  <si>
    <t>Xem được trades, Return, Win Rate, MDD, Number of Trades.</t>
  </si>
  <si>
    <t>Mở News</t>
  </si>
  <si>
    <t>Hiển thị tin BTC/coin liên quan và sentiment summary.</t>
  </si>
  <si>
    <t>Tích hợp SentimentStrategy (nếu có)</t>
  </si>
  <si>
    <t>Sentiment có thể trở thành input/strategy mà không phá Strategy Engine.</t>
  </si>
  <si>
    <t>Chạy lại search/composite</t>
  </si>
  <si>
    <t>Có thể thử MA+RSI+Sentiment hoặc combination khác và tiếp tục vòng lặp.</t>
  </si>
  <si>
    <t>SCENARIO KIỂM TRA CHẤT LƯỢNG KIẾN TRÚC</t>
  </si>
  <si>
    <t>#</t>
  </si>
  <si>
    <t>Scenario</t>
  </si>
  <si>
    <t>Điều cần chứng minh</t>
  </si>
  <si>
    <t>Thêm MACDStrategy</t>
  </si>
  <si>
    <t>Chỉ thêm class/plugin + register; không sửa nhiều controller/backtester/evaluator/UI.</t>
  </si>
  <si>
    <t>Đổi Random Search → Domain-guided/Genetic</t>
  </si>
  <si>
    <t>Các component phía sau vẫn chỉ nhận CandidateStrategy; Backtester không phải sửa.</t>
  </si>
  <si>
    <t>Thêm Market Data Provider mới</t>
  </si>
  <si>
    <t>Frontend và Strategy Engine không phụ thuộc trực tiếp schema/provider cụ thể.</t>
  </si>
  <si>
    <t>Binance WebSocket disconnect</t>
  </si>
  <si>
    <t>Có reconnect/retry và cơ chế tránh mất/nhảy dữ liệu bất hợp lý.</t>
  </si>
  <si>
    <t>News Service lỗi</t>
  </si>
  <si>
    <t>Chart/market data vẫn hoạt động; lỗi được cô lập và quan sát được.</t>
  </si>
  <si>
    <t>Trace một dòng Leaderboard</t>
  </si>
  <si>
    <t>Truy được strategy version, parameters, dataset/timeframe và trades đã tạo score.</t>
  </si>
  <si>
    <t>Scale số backtest</t>
  </si>
  <si>
    <t>Giải thích hoặc demo queue/worker/batch/concurrency khi tăng từ 100 lên nhiều candidate.</t>
  </si>
  <si>
    <t>HƯỚNG DẪN SỬ DỤNG TEMPLATE</t>
  </si>
  <si>
    <t>1. Mục tiêu</t>
  </si>
  <si>
    <t>Template giúp nhóm sinh viên tự kiểm tra trước khi nộp đồ án. Trọng tâm là chất lượng kiến trúc phần mềm và khả năng mở rộng/thay đổi của hệ thống, không phải chứng minh strategy kiếm tiền tốt.</t>
  </si>
  <si>
    <t>2. Cách dùng nhanh</t>
  </si>
  <si>
    <t>(1) Điền thông tin/link ở sheet 1. (2) Điền đóng góp thành viên ở sheet 2. (3) Chấm từng tiêu chí mức 0–4 và dán minh chứng. (4) Sửa các dòng 'Thiếu minh chứng'. (5) Chạy toàn bộ checklist demo ở sheet 3.</t>
  </si>
  <si>
    <t>3. Thang điểm 0</t>
  </si>
  <si>
    <t>Chưa có chức năng/kiến trúc tương ứng hoặc không chạy được.</t>
  </si>
  <si>
    <t>4. Thang điểm 1</t>
  </si>
  <si>
    <t>Có prototype nhưng thiếu nhiều yêu cầu, coupling cao, không ổn định hoặc gần như chưa có minh chứng.</t>
  </si>
  <si>
    <t>5. Thang điểm 2</t>
  </si>
  <si>
    <t>Đạt một phần; chạy được nhưng còn thiếu yêu cầu quan trọng hoặc chưa chứng minh rõ thiết kế.</t>
  </si>
  <si>
    <t>6. Thang điểm 3</t>
  </si>
  <si>
    <t>Đạt yêu cầu cơ bản, demo được end-to-end và có minh chứng đủ để người chấm kiểm tra.</t>
  </si>
  <si>
    <t>7. Thang điểm 4</t>
  </si>
  <si>
    <t>Đạt tốt/vượt yêu cầu: thiết kế modular, thay đổi ít ảnh hưởng, ổn định, có đo lường/test/minh chứng rõ.</t>
  </si>
  <si>
    <t>8. Các chức năng bắt buộc cần rà soát</t>
  </si>
  <si>
    <t>Binance data; candlestick + realtime + tối đa 4 timeframe; ≥4 strategy; composite; backtest; Return/Win Rate/MDD/Trades; Random Search; Top-K; Buy/Sell + Entry/Exit; news collect/store/sentiment.</t>
  </si>
  <si>
    <t>9. Các câu hỏi kiến trúc nên trả lời</t>
  </si>
  <si>
    <t>Thêm strategy mới sửa gì? Đổi search algorithm có ảnh hưởng backtester không? Thêm provider mới frontend có đổi không? Scale 100→100.000 backtest ra sao? News lỗi chart còn chạy không? Đổi sentiment model ảnh hưởng gì? Binance disconnect phục hồi thế nào? Leaderboard trace strategy version ra sao?</t>
  </si>
  <si>
    <t>10. Anti-pattern cần tránh</t>
  </si>
  <si>
    <t>God Service; hard-coded strategy combinations; frontend chứa business logic/backtest/ranking; Strategy truy cập DB trực tiếp; crawler phụ thuộc chặt vào ML model.</t>
  </si>
  <si>
    <t>11. Phần nâng cao</t>
  </si>
  <si>
    <t>Không tự cộng điểm chỉ vì dùng Redis/Kafka/Microservices/AI/Genetic/LLM. Chỉ chấm cao khi nhóm giải thích công nghệ giải quyết vấn đề kiến trúc nào và có minh chứng độ phức tạp/công sức.</t>
  </si>
  <si>
    <t>12. Hồ sơ nộp</t>
  </si>
  <si>
    <t>Source code; README (Install/Run/Architecture/Demo); Architecture Document; ADR; demo gồm realtime chart, multi-timeframe, strategy, combination, backtest, leaderboard, trade visualization, news và sentiment.</t>
  </si>
  <si>
    <t>Nguồn xây dựng template</t>
  </si>
  <si>
    <t>Crypto Strategy Lab – Đồ án cuối kỳ(3).pdf và file mẫu 22127480-22127211-Tự đánh giá.xlsx do người dùng cung cấp.</t>
  </si>
  <si>
    <t>13. Tự khai chức năng mở rộng / điểm cộng</t>
  </si>
  <si>
    <t>Dùng sheet 5_DIEM_CONG_NANG_CAO. Chỉ điền các mục nhóm thực sự triển khai vượt các chức năng/yêu cầu bắt buộc của đề bài; không cần điền tất cả.</t>
  </si>
  <si>
    <t>14. Minh chứng nâng cao</t>
  </si>
  <si>
    <t>Mỗi mục nên có ít nhất: mô tả implementation, module liên quan, link code/commit/ADR, kịch bản demo và kết quả test/measurement.</t>
  </si>
  <si>
    <t>15. Quyền quyết định điểm cộng</t>
  </si>
  <si>
    <t>Sinh viên không tự cộng vào tổng điểm. Giảng viên xem xét mức độ vượt yêu cầu bắt buộc, chất lượng triển khai và minh chứng ở cột cuối của sheet 5.</t>
  </si>
  <si>
    <t>PHIẾU TỰ KHAI CHỨC NĂNG NÂNG CAO – GIẢNG VIÊN XEM XÉT ĐIỂM CỘNG</t>
  </si>
  <si>
    <t>Mục đích: Nhóm chỉ khai những phần thực sự vượt các chức năng/yêu cầu bắt buộc của đề bài. Đây KHÔNG phải điểm tự động; giảng viên quyết định có cộng điểm hay không sau khi xem code, demo và minh chứng.</t>
  </si>
  <si>
    <t>Nguyên tắc: Không được xem là nâng cao chỉ vì dùng công nghệ phức tạp. Nhóm phải nêu rõ: (1) đã làm gì; (2) giải quyết vấn đề kiến trúc nào; (3) vượt yêu cầu bắt buộc ở điểm nào; (4) minh chứng ở đâu; (5) demo/đo lường kết quả ra sao.</t>
  </si>
  <si>
    <t>TÓM TẮT TỰ KHAI</t>
  </si>
  <si>
    <t>Giá trị</t>
  </si>
  <si>
    <t>Số mục hoàn thành &amp; demo được</t>
  </si>
  <si>
    <t>Số mục có minh chứng</t>
  </si>
  <si>
    <t>Nhóm nâng cao</t>
  </si>
  <si>
    <t>Chức năng/ý tưởng</t>
  </si>
  <si>
    <t>Trong đề bài / mức tham chiếu</t>
  </si>
  <si>
    <t>Vấn đề cần giải quyết</t>
  </si>
  <si>
    <t>Nhóm đã triển khai cụ thể như thế nào?</t>
  </si>
  <si>
    <t>Vượt yêu cầu bắt buộc ở điểm nào?</t>
  </si>
  <si>
    <t>Module/Component liên quan</t>
  </si>
  <si>
    <t>Minh chứng code / commit / ADR / ảnh</t>
  </si>
  <si>
    <t>Kịch bản demo</t>
  </si>
  <si>
    <t>Kết quả đo lường / kiểm thử</t>
  </si>
  <si>
    <t>Đủ minh chứng?</t>
  </si>
  <si>
    <t>Tự đánh giá (0–3)</t>
  </si>
  <si>
    <t>Giảng viên nhận xét / điểm cộng</t>
  </si>
  <si>
    <t>Search &amp; Optimization</t>
  </si>
  <si>
    <t>Domain-guided Search</t>
  </si>
  <si>
    <t>Đề bài §17; Random Search là yêu cầu cơ bản, Domain-guided Search là phần vượt yêu cầu</t>
  </si>
  <si>
    <t>Giảm search vô nghĩa bằng domain knowledge; tách generator khỏi backtester.</t>
  </si>
  <si>
    <t>Genetic Algorithm</t>
  </si>
  <si>
    <t>Đề bài §18 và §38 – phần mở rộng</t>
  </si>
  <si>
    <t>Tìm tổ hợp/parameter hiệu quả hơn khi không gian search lớn.</t>
  </si>
  <si>
    <t>Evolutionary Search</t>
  </si>
  <si>
    <t>Tiến hóa candidate qua nhiều vòng thay vì random độc lập.</t>
  </si>
  <si>
    <t>Bayesian Optimization</t>
  </si>
  <si>
    <t>Tối ưu parameter với số lần backtest hạn chế.</t>
  </si>
  <si>
    <t>Reinforcement Learning cho search</t>
  </si>
  <si>
    <t>Đề bài §18 – phần mở rộng</t>
  </si>
  <si>
    <t>Học chính sách tạo/chọn strategy candidate từ feedback evaluation.</t>
  </si>
  <si>
    <t>LLM-generated Strategy</t>
  </si>
  <si>
    <t>Đề bài §18 / §38 – phần mở rộng</t>
  </si>
  <si>
    <t>Dùng LLM đề xuất strategy/parameter/rule nhưng vẫn phải qua pipeline backtest-evaluate-rank.</t>
  </si>
  <si>
    <t>Agent-based Search</t>
  </si>
  <si>
    <t>Tổ chức agent tạo–kiểm tra–cải thiện candidate theo loop có kiểm soát.</t>
  </si>
  <si>
    <t>AlphaEvolve-style Optimization</t>
  </si>
  <si>
    <t>Tạo–đánh giá–giữ candidate tốt–biến đổi candidate theo vòng lặp.</t>
  </si>
  <si>
    <t>Loop Engineering</t>
  </si>
  <si>
    <t>Thiết kế vòng Generate → Execute → Measure → Rank → Improve có stop condition và trace.</t>
  </si>
  <si>
    <t>Trading</t>
  </si>
  <si>
    <t>Long / Short</t>
  </si>
  <si>
    <t>Đề bài §38 – phần mở rộng</t>
  </si>
  <si>
    <t>Mở rộng mô hình giao dịch vượt Buy/Sell cơ bản, hỗ trợ vị thế hai chiều.</t>
  </si>
  <si>
    <t>Stop Loss</t>
  </si>
  <si>
    <t>Quản lý rủi ro ở mức trade; backtester cần mô phỏng rule thoát lệnh.</t>
  </si>
  <si>
    <t>Take Profit</t>
  </si>
  <si>
    <t>Mô phỏng rule chốt lời và ảnh hưởng đến kết quả backtest.</t>
  </si>
  <si>
    <t>Trailing Stop</t>
  </si>
  <si>
    <t>Rule thoát lệnh động theo biến động giá, phức tạp hơn stop cố định.</t>
  </si>
  <si>
    <t>Position Sizing</t>
  </si>
  <si>
    <t>Quyết định kích thước vị thế thay vì giả định mỗi trade có cùng quy mô.</t>
  </si>
  <si>
    <t>Market</t>
  </si>
  <si>
    <t>Multiple Coins</t>
  </si>
  <si>
    <t>Mở rộng từ một pair sang nhiều coin/pair mà không hard-code luồng xử lý.</t>
  </si>
  <si>
    <t>Multiple Exchanges</t>
  </si>
  <si>
    <t>Đề bài §38; liên quan Adapter ở §4</t>
  </si>
  <si>
    <t>Thêm OKX/Bybit/Coinbase... qua abstraction/provider mà frontend và core ít thay đổi.</t>
  </si>
  <si>
    <t>Machine Learning</t>
  </si>
  <si>
    <t>Sentiment mở rộng</t>
  </si>
  <si>
    <t>Đề bài đã yêu cầu collect/store/analyze sentiment; chỉ xem là mở rộng khi nhóm triển khai thêm, ví dụ tích hợp sentiment thành Strategy hoặc có đánh giá/thay thế mô hình rõ ràng.</t>
  </si>
  <si>
    <t>Chỉ nên khai điểm cộng nếu vượt pipeline sentiment cơ bản, ví dụ tích hợp thành Strategy hoặc có đánh giá/thay model rõ ràng.</t>
  </si>
  <si>
    <t>Price Prediction</t>
  </si>
  <si>
    <t>Thêm mô hình dự báo giá/tín hiệu như một service/strategy mà không phá kiến trúc hiện có.</t>
  </si>
  <si>
    <t>Market Regime Detection</t>
  </si>
  <si>
    <t>Nhận diện trend/range/volatility regime để hỗ trợ chọn/kết hợp strategy.</t>
  </si>
  <si>
    <t>Architecture / Infrastructure</t>
  </si>
  <si>
    <t>Redis</t>
  </si>
  <si>
    <t>Chỉ có ý nghĩa nếu dùng cho cache/state/queue/pub-sub cụ thể và chứng minh lợi ích.</t>
  </si>
  <si>
    <t>Kafka / RabbitMQ</t>
  </si>
  <si>
    <t>Tách producer/consumer, xử lý event/job bất đồng bộ; cần demo failure/retry/throughput nếu khai.</t>
  </si>
  <si>
    <t>Worker Pool</t>
  </si>
  <si>
    <t>Đề bài §38; liên quan scalability §43</t>
  </si>
  <si>
    <t>Chạy backtest song song, scale số candidate; nên có số liệu thời gian/throughput.</t>
  </si>
  <si>
    <t>Microservices</t>
  </si>
  <si>
    <t>Chỉ nên khai nếu việc tách service giải quyết coupling/deployment/scaling thực tế, không phải chỉ chia project.</t>
  </si>
  <si>
    <t>CQRS</t>
  </si>
  <si>
    <t>Tách mô hình ghi/đọc khi có lý do kiến trúc cụ thể; cần chỉ ra flow và trade-off.</t>
  </si>
  <si>
    <t>Event Sourcing</t>
  </si>
  <si>
    <t>Lưu chuỗi event để trace/replay trạng thái; cần giải thích vì sao cần và demo khả năng truy vết/replay.</t>
  </si>
  <si>
    <t>Plugin Architecture nâng cao</t>
  </si>
  <si>
    <t>Plugin/extensibility là trọng tâm xuyên suốt đề bài; §38 cũng liệt kê Plugin Architecture</t>
  </si>
  <si>
    <t>Không tự động là điểm cộng nếu chỉ đáp ứng core. Chỉ khai khi có phần vượt yêu cầu, ví dụ đăng ký/loading plugin thực sự và chứng minh thay đổi tối thiểu.</t>
  </si>
  <si>
    <t>Sáng tạo khác</t>
  </si>
  <si>
    <t>Ý tưởng nâng cao khác #1</t>
  </si>
  <si>
    <t>Nhóm tự đề xuất – phải liên quan trực tiếp mục tiêu đồ án</t>
  </si>
  <si>
    <t>Mô tả vấn đề thực tế/kiến trúc mà ý tưởng giải quyết.</t>
  </si>
  <si>
    <t>Ý tưởng nâng cao khác #2</t>
  </si>
  <si>
    <t>Ý tưởng nâng cao khác #3</t>
  </si>
  <si>
    <t>Ý tưởng nâng cao khác #4</t>
  </si>
  <si>
    <t>THANG TỰ ĐÁNH GIÁ 0–3: 0 = mới nêu ý tưởng/chưa chạy; 1 = prototype chạy một phần; 2 = hoàn thành và demo được nhưng minh chứng/đo lường còn hạn chế; 3 = hoàn thành tốt, modular, có demo + code + test/measurement + giải thích trade-off.</t>
  </si>
  <si>
    <t>LƯU Ý CHO GIẢNG VIÊN: Cột N chỉ là tự đánh giá của sinh viên. Cột O dành cho giảng viên quyết định nhận xét/điểm cộng. Không có công thức tự động cộng vào điểm đồ án.</t>
  </si>
  <si>
    <t>Nguyên tắc: đồ án tập trung vào KIẾN TRÚC PHẦN MỀM. Phải chứng minh công nghệ giải quyết vấn đề kiến trúc nào.</t>
  </si>
  <si>
    <t>Minh chứng / link(Có thể cập nhật đến hết ngày 4/9)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</si>
</sst>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9">
    <font>
      <sz val="11"/>
      <name val="Carlito"/>
    </font>
    <font>
      <b/>
      <sz val="16"/>
      <color theme="0"/>
      <name val="Carlito"/>
    </font>
    <font>
      <b/>
      <sz val="11"/>
      <color rgb="FF1F2937"/>
      <name val="Carlito"/>
    </font>
    <font>
      <i/>
      <sz val="11"/>
      <color rgb="FF334155"/>
      <name val="Carlito"/>
    </font>
    <font>
      <b/>
      <sz val="11"/>
      <color theme="0"/>
      <name val="Carlito"/>
    </font>
    <font>
      <b/>
      <sz val="14"/>
      <color rgb="FF0F172A"/>
      <name val="Carlito"/>
    </font>
    <font>
      <b/>
      <sz val="11"/>
      <color rgb="FF9A3412"/>
      <name val="Carlito"/>
    </font>
    <font>
      <b/>
      <sz val="11"/>
      <name val="Carlito"/>
    </font>
    <font>
      <sz val="10"/>
      <name val="Carlito"/>
    </font>
    <font>
      <b/>
      <sz val="10"/>
      <name val="Carlito"/>
    </font>
    <font>
      <b/>
      <sz val="15"/>
      <color theme="0"/>
      <name val="Carlito"/>
    </font>
    <font>
      <i/>
      <sz val="11"/>
      <name val="Carlito"/>
    </font>
    <font>
      <b/>
      <sz val="16"/>
      <color rgb="FFFFFFFF"/>
      <name val="Carlito"/>
    </font>
    <font>
      <b/>
      <sz val="11"/>
      <color rgb="FF7F6000"/>
      <name val="Carlito"/>
    </font>
    <font>
      <sz val="11"/>
      <color rgb="FF375623"/>
      <name val="Carlito"/>
    </font>
    <font>
      <b/>
      <sz val="11"/>
      <color rgb="FFFFFFFF"/>
      <name val="Carlito"/>
    </font>
    <font>
      <b/>
      <sz val="11"/>
      <color rgb="FF274E13"/>
      <name val="Carlito"/>
    </font>
    <font>
      <b/>
      <sz val="11"/>
      <color rgb="FF990000"/>
      <name val="Carlito"/>
    </font>
    <font>
      <sz val="11"/>
      <name val="Carlito"/>
    </font>
  </fonts>
  <fills count="30">
    <fill>
      <patternFill patternType="none"/>
    </fill>
    <fill>
      <patternFill patternType="gray125"/>
    </fill>
    <fill>
      <patternFill patternType="solid">
        <fgColor theme="4"/>
      </patternFill>
    </fill>
    <fill>
      <patternFill patternType="solid">
        <fgColor rgb="FFDCE6F1"/>
      </patternFill>
    </fill>
    <fill>
      <patternFill patternType="solid">
        <fgColor rgb="FFFFF2CC"/>
      </patternFill>
    </fill>
    <fill>
      <patternFill patternType="solid">
        <fgColor rgb="FFE8F1FB"/>
      </patternFill>
    </fill>
    <fill>
      <patternFill patternType="solid">
        <fgColor rgb="FFEAF2F8"/>
      </patternFill>
    </fill>
    <fill>
      <patternFill patternType="solid">
        <fgColor rgb="FFFDE9D9"/>
      </patternFill>
    </fill>
    <fill>
      <patternFill patternType="solid">
        <fgColor rgb="FFD9EAF7"/>
      </patternFill>
    </fill>
    <fill>
      <patternFill patternType="solid">
        <fgColor rgb="FFFFF9E6"/>
      </patternFill>
    </fill>
    <fill>
      <patternFill patternType="solid">
        <fgColor rgb="FFE2F0D9"/>
      </patternFill>
    </fill>
    <fill>
      <patternFill patternType="solid">
        <fgColor rgb="FFE8F5E9"/>
      </patternFill>
    </fill>
    <fill>
      <patternFill patternType="solid">
        <fgColor rgb="FFF3E8FF"/>
      </patternFill>
    </fill>
    <fill>
      <patternFill patternType="solid">
        <fgColor rgb="FFFFF3E0"/>
      </patternFill>
    </fill>
    <fill>
      <patternFill patternType="solid">
        <fgColor rgb="FFFDECEC"/>
      </patternFill>
    </fill>
    <fill>
      <patternFill patternType="solid">
        <fgColor rgb="FFD9EAD3"/>
      </patternFill>
    </fill>
    <fill>
      <patternFill patternType="solid">
        <fgColor theme="9"/>
      </patternFill>
    </fill>
    <fill>
      <patternFill patternType="solid">
        <fgColor rgb="FFFAFAFA"/>
      </patternFill>
    </fill>
    <fill>
      <patternFill patternType="solid">
        <fgColor rgb="FF17365D"/>
      </patternFill>
    </fill>
    <fill>
      <patternFill patternType="solid">
        <fgColor rgb="FFFFF2CC"/>
      </patternFill>
    </fill>
    <fill>
      <patternFill patternType="solid">
        <fgColor rgb="FFE2F0D9"/>
      </patternFill>
    </fill>
    <fill>
      <patternFill patternType="solid">
        <fgColor rgb="FF5B9BD5"/>
      </patternFill>
    </fill>
    <fill>
      <patternFill patternType="solid">
        <fgColor rgb="FF4472C4"/>
      </patternFill>
    </fill>
    <fill>
      <patternFill patternType="solid">
        <fgColor rgb="FFDDEBF7"/>
      </patternFill>
    </fill>
    <fill>
      <patternFill patternType="solid">
        <fgColor rgb="FFFCE4D6"/>
      </patternFill>
    </fill>
    <fill>
      <patternFill patternType="solid">
        <fgColor rgb="FFE4DFEC"/>
      </patternFill>
    </fill>
    <fill>
      <patternFill patternType="solid">
        <fgColor rgb="FFF2F2F2"/>
      </patternFill>
    </fill>
    <fill>
      <patternFill patternType="solid">
        <fgColor rgb="FFFFFDF2"/>
      </patternFill>
    </fill>
    <fill>
      <patternFill patternType="solid">
        <fgColor rgb="FFD9EAD3"/>
      </patternFill>
    </fill>
    <fill>
      <patternFill patternType="solid">
        <fgColor rgb="FFF4CCCC"/>
      </patternFill>
    </fill>
  </fills>
  <borders count="17">
    <border>
      <left/>
      <right/>
      <top/>
      <bottom/>
      <diagonal/>
    </border>
    <border>
      <left style="thin">
        <color rgb="FFB7C4CE"/>
      </left>
      <right style="thin">
        <color rgb="FFB7C4CE"/>
      </right>
      <top style="thin">
        <color rgb="FFB7C4CE"/>
      </top>
      <bottom style="thin">
        <color rgb="FFB7C4CE"/>
      </bottom>
      <diagonal/>
    </border>
    <border>
      <left style="thin">
        <color rgb="FF7F8C8D"/>
      </left>
      <right style="thin">
        <color rgb="FF7F8C8D"/>
      </right>
      <top style="thin">
        <color rgb="FF7F8C8D"/>
      </top>
      <bottom style="thin">
        <color rgb="FF7F8C8D"/>
      </bottom>
      <diagonal/>
    </border>
    <border>
      <left style="thin">
        <color rgb="FFA6A6A6"/>
      </left>
      <right/>
      <top style="thin">
        <color rgb="FFA6A6A6"/>
      </top>
      <bottom/>
      <diagonal/>
    </border>
    <border>
      <left/>
      <right style="thin">
        <color rgb="FFA6A6A6"/>
      </right>
      <top style="thin">
        <color rgb="FFA6A6A6"/>
      </top>
      <bottom/>
      <diagonal/>
    </border>
    <border>
      <left style="thin">
        <color rgb="FFA6A6A6"/>
      </left>
      <right/>
      <top/>
      <bottom/>
      <diagonal/>
    </border>
    <border>
      <left/>
      <right style="thin">
        <color rgb="FFA6A6A6"/>
      </right>
      <top/>
      <bottom/>
      <diagonal/>
    </border>
    <border>
      <left style="thin">
        <color rgb="FFA6A6A6"/>
      </left>
      <right/>
      <top/>
      <bottom style="thin">
        <color rgb="FFA6A6A6"/>
      </bottom>
      <diagonal/>
    </border>
    <border>
      <left/>
      <right style="thin">
        <color rgb="FFA6A6A6"/>
      </right>
      <top/>
      <bottom style="thin">
        <color rgb="FFA6A6A6"/>
      </bottom>
      <diagonal/>
    </border>
    <border>
      <left style="thin">
        <color rgb="FFD9E1F2"/>
      </left>
      <right/>
      <top style="thin">
        <color rgb="FFD9E1F2"/>
      </top>
      <bottom/>
      <diagonal/>
    </border>
    <border>
      <left/>
      <right/>
      <top style="thin">
        <color rgb="FFD9E1F2"/>
      </top>
      <bottom/>
      <diagonal/>
    </border>
    <border>
      <left/>
      <right style="thin">
        <color rgb="FFD9E1F2"/>
      </right>
      <top style="thin">
        <color rgb="FFD9E1F2"/>
      </top>
      <bottom/>
      <diagonal/>
    </border>
    <border>
      <left style="thin">
        <color rgb="FFD9E1F2"/>
      </left>
      <right/>
      <top/>
      <bottom/>
      <diagonal/>
    </border>
    <border>
      <left/>
      <right style="thin">
        <color rgb="FFD9E1F2"/>
      </right>
      <top/>
      <bottom/>
      <diagonal/>
    </border>
    <border>
      <left style="thin">
        <color rgb="FFD9E1F2"/>
      </left>
      <right/>
      <top/>
      <bottom style="thin">
        <color rgb="FFD9E1F2"/>
      </bottom>
      <diagonal/>
    </border>
    <border>
      <left/>
      <right/>
      <top/>
      <bottom style="thin">
        <color rgb="FFD9E1F2"/>
      </bottom>
      <diagonal/>
    </border>
    <border>
      <left/>
      <right style="thin">
        <color rgb="FFD9E1F2"/>
      </right>
      <top/>
      <bottom style="thin">
        <color rgb="FFD9E1F2"/>
      </bottom>
      <diagonal/>
    </border>
  </borders>
  <cellStyleXfs count="2">
    <xf numFmtId="0" fontId="0" fillId="0" borderId="0"/>
    <xf numFmtId="0" fontId="18" fillId="0" borderId="0"/>
  </cellStyleXfs>
  <cellXfs count="74">
    <xf numFmtId="0" fontId="0" fillId="0" borderId="0" xfId="0"/>
    <xf numFmtId="0" fontId="0" fillId="0" borderId="0" xfId="1" applyFont="1" applyAlignment="1">
      <alignment wrapText="1"/>
    </xf>
    <xf numFmtId="0" fontId="4" fillId="2" borderId="1" xfId="1" applyFont="1" applyFill="1" applyBorder="1" applyAlignment="1">
      <alignment horizontal="center" vertical="center" wrapText="1"/>
    </xf>
    <xf numFmtId="0" fontId="0" fillId="0" borderId="1" xfId="1" applyFont="1" applyBorder="1" applyAlignment="1">
      <alignment vertical="top" wrapText="1"/>
    </xf>
    <xf numFmtId="0" fontId="0" fillId="0" borderId="1" xfId="1" applyFont="1" applyBorder="1"/>
    <xf numFmtId="0" fontId="0" fillId="4" borderId="1" xfId="1" applyFont="1" applyFill="1" applyBorder="1" applyAlignment="1">
      <alignment vertical="top" wrapText="1"/>
    </xf>
    <xf numFmtId="0" fontId="0" fillId="9" borderId="1" xfId="1" applyFont="1" applyFill="1" applyBorder="1" applyAlignment="1">
      <alignment vertical="top" wrapText="1"/>
    </xf>
    <xf numFmtId="0" fontId="7" fillId="15" borderId="2" xfId="1" applyFont="1" applyFill="1" applyBorder="1" applyAlignment="1">
      <alignment vertical="center"/>
    </xf>
    <xf numFmtId="0" fontId="4" fillId="16" borderId="0" xfId="1" applyFont="1" applyFill="1" applyAlignment="1">
      <alignment horizontal="center" vertical="center"/>
    </xf>
    <xf numFmtId="0" fontId="7" fillId="15" borderId="2" xfId="1" applyFont="1" applyFill="1" applyBorder="1"/>
    <xf numFmtId="0" fontId="8" fillId="0" borderId="1" xfId="1" applyFont="1" applyBorder="1" applyAlignment="1">
      <alignment vertical="top" wrapText="1"/>
    </xf>
    <xf numFmtId="0" fontId="9" fillId="8" borderId="1" xfId="1" applyFont="1" applyFill="1" applyBorder="1" applyAlignment="1">
      <alignment vertical="top" wrapText="1"/>
    </xf>
    <xf numFmtId="0" fontId="8" fillId="4" borderId="1" xfId="1" applyFont="1" applyFill="1" applyBorder="1" applyAlignment="1">
      <alignment vertical="top" wrapText="1"/>
    </xf>
    <xf numFmtId="0" fontId="8" fillId="10" borderId="1" xfId="1" applyFont="1" applyFill="1" applyBorder="1" applyAlignment="1">
      <alignment vertical="top" wrapText="1"/>
    </xf>
    <xf numFmtId="0" fontId="8" fillId="9" borderId="1" xfId="1" applyFont="1" applyFill="1" applyBorder="1" applyAlignment="1">
      <alignment vertical="top" wrapText="1"/>
    </xf>
    <xf numFmtId="0" fontId="9" fillId="11" borderId="1" xfId="1" applyFont="1" applyFill="1" applyBorder="1" applyAlignment="1">
      <alignment vertical="top" wrapText="1"/>
    </xf>
    <xf numFmtId="0" fontId="9" fillId="12" borderId="1" xfId="1" applyFont="1" applyFill="1" applyBorder="1" applyAlignment="1">
      <alignment vertical="top" wrapText="1"/>
    </xf>
    <xf numFmtId="0" fontId="9" fillId="13" borderId="1" xfId="1" applyFont="1" applyFill="1" applyBorder="1" applyAlignment="1">
      <alignment vertical="top" wrapText="1"/>
    </xf>
    <xf numFmtId="0" fontId="9" fillId="14" borderId="1" xfId="1" applyFont="1" applyFill="1" applyBorder="1" applyAlignment="1">
      <alignment vertical="top" wrapText="1"/>
    </xf>
    <xf numFmtId="0" fontId="10" fillId="2" borderId="0" xfId="1" applyFont="1" applyFill="1" applyAlignment="1">
      <alignment horizontal="center" vertical="center"/>
    </xf>
    <xf numFmtId="9" fontId="0" fillId="9" borderId="1" xfId="1" applyNumberFormat="1" applyFont="1" applyFill="1" applyBorder="1" applyAlignment="1">
      <alignment vertical="top" wrapText="1"/>
    </xf>
    <xf numFmtId="9" fontId="7" fillId="15" borderId="1" xfId="1" applyNumberFormat="1" applyFont="1" applyFill="1" applyBorder="1"/>
    <xf numFmtId="0" fontId="7" fillId="15" borderId="1" xfId="1" applyFont="1" applyFill="1" applyBorder="1" applyAlignment="1">
      <alignment horizontal="center" vertical="center" wrapText="1"/>
    </xf>
    <xf numFmtId="0" fontId="7" fillId="3" borderId="1" xfId="1" applyFont="1" applyFill="1" applyBorder="1" applyAlignment="1">
      <alignment vertical="top" wrapText="1"/>
    </xf>
    <xf numFmtId="0" fontId="0" fillId="17" borderId="1" xfId="1" applyFont="1" applyFill="1" applyBorder="1" applyAlignment="1">
      <alignment vertical="top" wrapText="1"/>
    </xf>
    <xf numFmtId="0" fontId="7" fillId="10" borderId="1" xfId="1" applyFont="1" applyFill="1" applyBorder="1" applyAlignment="1">
      <alignment horizontal="center"/>
    </xf>
    <xf numFmtId="0" fontId="15" fillId="21" borderId="3" xfId="1" applyFont="1" applyFill="1" applyBorder="1" applyAlignment="1">
      <alignment horizontal="center"/>
    </xf>
    <xf numFmtId="0" fontId="15" fillId="21" borderId="4" xfId="1" applyFont="1" applyFill="1" applyBorder="1" applyAlignment="1">
      <alignment horizontal="center"/>
    </xf>
    <xf numFmtId="0" fontId="0" fillId="0" borderId="5" xfId="1" applyFont="1" applyBorder="1"/>
    <xf numFmtId="0" fontId="0" fillId="0" borderId="6" xfId="1" applyFont="1" applyBorder="1"/>
    <xf numFmtId="0" fontId="0" fillId="0" borderId="7" xfId="1" applyFont="1" applyBorder="1"/>
    <xf numFmtId="0" fontId="0" fillId="0" borderId="8" xfId="1" applyFont="1" applyBorder="1"/>
    <xf numFmtId="0" fontId="15" fillId="22" borderId="0" xfId="1" applyFont="1" applyFill="1" applyAlignment="1">
      <alignment horizontal="center" vertical="center" wrapText="1"/>
    </xf>
    <xf numFmtId="0" fontId="0" fillId="0" borderId="9" xfId="1" applyFont="1" applyBorder="1" applyAlignment="1">
      <alignment horizontal="center" vertical="top" wrapText="1"/>
    </xf>
    <xf numFmtId="0" fontId="0" fillId="0" borderId="12" xfId="1" applyFont="1" applyBorder="1" applyAlignment="1">
      <alignment horizontal="center" vertical="top" wrapText="1"/>
    </xf>
    <xf numFmtId="0" fontId="0" fillId="0" borderId="14" xfId="1" applyFont="1" applyBorder="1" applyAlignment="1">
      <alignment horizontal="center" vertical="top" wrapText="1"/>
    </xf>
    <xf numFmtId="0" fontId="0" fillId="23" borderId="10" xfId="1" applyFont="1" applyFill="1" applyBorder="1" applyAlignment="1">
      <alignment vertical="top" wrapText="1"/>
    </xf>
    <xf numFmtId="0" fontId="0" fillId="23" borderId="0" xfId="1" applyFont="1" applyFill="1" applyAlignment="1">
      <alignment vertical="top" wrapText="1"/>
    </xf>
    <xf numFmtId="0" fontId="0" fillId="20" borderId="0" xfId="1" applyFont="1" applyFill="1" applyAlignment="1">
      <alignment vertical="top" wrapText="1"/>
    </xf>
    <xf numFmtId="0" fontId="0" fillId="19" borderId="0" xfId="1" applyFont="1" applyFill="1" applyAlignment="1">
      <alignment vertical="top" wrapText="1"/>
    </xf>
    <xf numFmtId="0" fontId="0" fillId="24" borderId="0" xfId="1" applyFont="1" applyFill="1" applyAlignment="1">
      <alignment vertical="top" wrapText="1"/>
    </xf>
    <xf numFmtId="0" fontId="0" fillId="25" borderId="0" xfId="1" applyFont="1" applyFill="1" applyAlignment="1">
      <alignment vertical="top" wrapText="1"/>
    </xf>
    <xf numFmtId="0" fontId="0" fillId="26" borderId="0" xfId="1" applyFont="1" applyFill="1" applyAlignment="1">
      <alignment vertical="top" wrapText="1"/>
    </xf>
    <xf numFmtId="0" fontId="0" fillId="26" borderId="15" xfId="1" applyFont="1" applyFill="1" applyBorder="1" applyAlignment="1">
      <alignment vertical="top" wrapText="1"/>
    </xf>
    <xf numFmtId="0" fontId="0" fillId="27" borderId="10" xfId="1" applyFont="1" applyFill="1" applyBorder="1" applyAlignment="1">
      <alignment vertical="top" wrapText="1"/>
    </xf>
    <xf numFmtId="0" fontId="0" fillId="27" borderId="10" xfId="1" applyFont="1" applyFill="1" applyBorder="1" applyAlignment="1">
      <alignment horizontal="center" vertical="top" wrapText="1"/>
    </xf>
    <xf numFmtId="0" fontId="0" fillId="27" borderId="11" xfId="1" applyFont="1" applyFill="1" applyBorder="1" applyAlignment="1">
      <alignment vertical="top" wrapText="1"/>
    </xf>
    <xf numFmtId="0" fontId="0" fillId="27" borderId="0" xfId="1" applyFont="1" applyFill="1" applyAlignment="1">
      <alignment vertical="top" wrapText="1"/>
    </xf>
    <xf numFmtId="0" fontId="0" fillId="27" borderId="0" xfId="1" applyFont="1" applyFill="1" applyAlignment="1">
      <alignment horizontal="center" vertical="top" wrapText="1"/>
    </xf>
    <xf numFmtId="0" fontId="0" fillId="27" borderId="13" xfId="1" applyFont="1" applyFill="1" applyBorder="1" applyAlignment="1">
      <alignment vertical="top" wrapText="1"/>
    </xf>
    <xf numFmtId="0" fontId="0" fillId="27" borderId="15" xfId="1" applyFont="1" applyFill="1" applyBorder="1" applyAlignment="1">
      <alignment vertical="top" wrapText="1"/>
    </xf>
    <xf numFmtId="0" fontId="0" fillId="27" borderId="15" xfId="1" applyFont="1" applyFill="1" applyBorder="1" applyAlignment="1">
      <alignment horizontal="center" vertical="top" wrapText="1"/>
    </xf>
    <xf numFmtId="0" fontId="0" fillId="27" borderId="16" xfId="1" applyFont="1" applyFill="1" applyBorder="1" applyAlignment="1">
      <alignment vertical="top" wrapText="1"/>
    </xf>
    <xf numFmtId="0" fontId="7" fillId="0" borderId="0" xfId="1" applyFont="1" applyAlignment="1">
      <alignment wrapText="1"/>
    </xf>
    <xf numFmtId="0" fontId="1" fillId="2" borderId="0" xfId="1" applyFont="1" applyFill="1" applyAlignment="1">
      <alignment horizontal="center" vertical="center"/>
    </xf>
    <xf numFmtId="0" fontId="3" fillId="5" borderId="0" xfId="1" applyFont="1" applyFill="1" applyAlignment="1">
      <alignment vertical="center" wrapText="1"/>
    </xf>
    <xf numFmtId="0" fontId="4" fillId="2" borderId="0" xfId="1" applyFont="1" applyFill="1" applyAlignment="1">
      <alignment horizontal="center" vertical="center"/>
    </xf>
    <xf numFmtId="0" fontId="5" fillId="6" borderId="0" xfId="1" applyFont="1" applyFill="1" applyAlignment="1">
      <alignment horizontal="center" vertical="center"/>
    </xf>
    <xf numFmtId="0" fontId="6" fillId="7" borderId="0" xfId="1" applyFont="1" applyFill="1" applyAlignment="1">
      <alignment vertical="center" wrapText="1"/>
    </xf>
    <xf numFmtId="0" fontId="7" fillId="15" borderId="2" xfId="1" applyFont="1" applyFill="1" applyBorder="1" applyAlignment="1">
      <alignment vertical="center"/>
    </xf>
    <xf numFmtId="0" fontId="7" fillId="15" borderId="2" xfId="1" applyFont="1" applyFill="1" applyBorder="1"/>
    <xf numFmtId="0" fontId="2" fillId="3" borderId="0" xfId="1" applyFont="1" applyFill="1" applyAlignment="1">
      <alignment vertical="center" wrapText="1"/>
    </xf>
    <xf numFmtId="0" fontId="0" fillId="4" borderId="0" xfId="1" applyFont="1" applyFill="1" applyAlignment="1">
      <alignment vertical="center" wrapText="1"/>
    </xf>
    <xf numFmtId="164" fontId="2" fillId="3" borderId="0" xfId="1" applyNumberFormat="1" applyFont="1" applyFill="1" applyAlignment="1">
      <alignment vertical="center" wrapText="1"/>
    </xf>
    <xf numFmtId="164" fontId="0" fillId="4" borderId="0" xfId="1" applyNumberFormat="1" applyFont="1" applyFill="1" applyAlignment="1">
      <alignment vertical="center" wrapText="1"/>
    </xf>
    <xf numFmtId="0" fontId="10" fillId="2" borderId="0" xfId="1" applyFont="1" applyFill="1" applyAlignment="1">
      <alignment horizontal="center" vertical="center"/>
    </xf>
    <xf numFmtId="0" fontId="11" fillId="5" borderId="0" xfId="1" applyFont="1" applyFill="1" applyAlignment="1">
      <alignment wrapText="1"/>
    </xf>
    <xf numFmtId="0" fontId="7" fillId="15" borderId="1" xfId="1" applyFont="1" applyFill="1" applyBorder="1"/>
    <xf numFmtId="0" fontId="4" fillId="16" borderId="0" xfId="1" applyFont="1" applyFill="1" applyAlignment="1">
      <alignment horizontal="center"/>
    </xf>
    <xf numFmtId="0" fontId="12" fillId="18" borderId="0" xfId="1" applyFont="1" applyFill="1" applyAlignment="1">
      <alignment horizontal="center" vertical="center"/>
    </xf>
    <xf numFmtId="0" fontId="13" fillId="19" borderId="0" xfId="1" applyFont="1" applyFill="1" applyAlignment="1">
      <alignment vertical="center" wrapText="1"/>
    </xf>
    <xf numFmtId="0" fontId="14" fillId="20" borderId="0" xfId="1" applyFont="1" applyFill="1" applyAlignment="1">
      <alignment vertical="center" wrapText="1"/>
    </xf>
    <xf numFmtId="0" fontId="16" fillId="28" borderId="0" xfId="1" applyFont="1" applyFill="1" applyAlignment="1">
      <alignment vertical="center" wrapText="1"/>
    </xf>
    <xf numFmtId="0" fontId="17" fillId="29" borderId="0" xfId="1" applyFont="1" applyFill="1" applyAlignment="1">
      <alignment vertical="center" wrapText="1"/>
    </xf>
  </cellXfs>
  <cellStyles count="2">
    <cellStyle name="Bình thường" xfId="0" builtinId="0"/>
    <cellStyle name="Normal" xfId="1" xr:uid="{00000000-0005-0000-0000-000000000000}"/>
  </cellStyles>
  <dxfs count="10">
    <dxf>
      <fill>
        <patternFill>
          <bgColor rgb="FFF4CCCC"/>
        </patternFill>
      </fill>
    </dxf>
    <dxf>
      <font>
        <b/>
      </font>
      <fill>
        <patternFill>
          <bgColor rgb="FFC6E0B4"/>
        </patternFill>
      </fill>
    </dxf>
    <dxf>
      <font>
        <color rgb="FF7F7F7F"/>
      </font>
      <fill>
        <patternFill>
          <bgColor rgb="FFF2F2F2"/>
        </patternFill>
      </fill>
    </dxf>
    <dxf>
      <fill>
        <patternFill>
          <bgColor rgb="FFFFE699"/>
        </patternFill>
      </fill>
    </dxf>
    <dxf>
      <font>
        <b/>
        <color rgb="FF375623"/>
      </font>
      <fill>
        <patternFill>
          <bgColor rgb="FFC6E0B4"/>
        </patternFill>
      </fill>
    </dxf>
    <dxf>
      <font>
        <b/>
        <color rgb="FF991B1B"/>
      </font>
      <fill>
        <patternFill>
          <bgColor rgb="FFFECACA"/>
        </patternFill>
      </fill>
    </dxf>
    <dxf>
      <font>
        <b/>
        <color rgb="FF854D0E"/>
      </font>
      <fill>
        <patternFill>
          <bgColor rgb="FFFEF3C7"/>
        </patternFill>
      </fill>
    </dxf>
    <dxf>
      <font>
        <b/>
        <color rgb="FF14532D"/>
      </font>
      <fill>
        <patternFill>
          <bgColor rgb="FFBBF7D0"/>
        </patternFill>
      </fill>
    </dxf>
    <dxf>
      <font>
        <b/>
        <color rgb="FF991B1B"/>
      </font>
      <fill>
        <patternFill>
          <bgColor rgb="FFFECACA"/>
        </patternFill>
      </fill>
    </dxf>
    <dxf>
      <font>
        <b/>
        <color rgb="FF991B1B"/>
      </font>
      <fill>
        <patternFill>
          <bgColor rgb="FFFECACA"/>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ChatGPT">
  <a:themeElements>
    <a:clrScheme name="Crypto Strategy Lab">
      <a:dk1>
        <a:srgbClr val="111827"/>
      </a:dk1>
      <a:lt1>
        <a:srgbClr val="FFFFFF"/>
      </a:lt1>
      <a:dk2>
        <a:srgbClr val="0E2841"/>
      </a:dk2>
      <a:lt2>
        <a:srgbClr val="F3F4F6"/>
      </a:lt2>
      <a:accent1>
        <a:srgbClr val="1F4E78"/>
      </a:accent1>
      <a:accent2>
        <a:srgbClr val="F59E0B"/>
      </a:accent2>
      <a:accent3>
        <a:srgbClr val="16A34A"/>
      </a:accent3>
      <a:accent4>
        <a:srgbClr val="0EA5E9"/>
      </a:accent4>
      <a:accent5>
        <a:srgbClr val="7C3AED"/>
      </a:accent5>
      <a:accent6>
        <a:srgbClr val="0F766E"/>
      </a:accent6>
      <a:hlink>
        <a:srgbClr val="2563EB"/>
      </a:hlink>
      <a:folHlink>
        <a:srgbClr val="7C3AED"/>
      </a:folHlink>
    </a:clrScheme>
    <a:fontScheme name="Office">
      <a:majorFont>
        <a:latin typeface="Calibri Light"/>
        <a:ea typeface="Calibri Light"/>
        <a:cs typeface="Calibri Light"/>
      </a:majorFont>
      <a:minorFont>
        <a:latin typeface="Calibri"/>
        <a:ea typeface="Calibri"/>
        <a:cs typeface="Calibri"/>
      </a:minorFont>
    </a:fontScheme>
    <a:fmtScheme name="Crypto Strategy Lab">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0"/>
  <sheetViews>
    <sheetView tabSelected="1" topLeftCell="B1" workbookViewId="0">
      <selection activeCell="H16" sqref="H16"/>
    </sheetView>
  </sheetViews>
  <sheetFormatPr defaultRowHeight="14.25"/>
  <cols>
    <col min="1" max="1" width="5" customWidth="1"/>
    <col min="2" max="2" width="23" customWidth="1"/>
    <col min="3" max="3" width="28" customWidth="1"/>
    <col min="4" max="4" width="58" customWidth="1"/>
    <col min="5" max="5" width="11" customWidth="1"/>
    <col min="6" max="6" width="13" customWidth="1"/>
    <col min="7" max="7" width="12" customWidth="1"/>
    <col min="8" max="9" width="34" customWidth="1"/>
    <col min="10" max="10" width="18" customWidth="1"/>
    <col min="12" max="12" width="25" customWidth="1"/>
    <col min="13" max="14" width="12" customWidth="1"/>
  </cols>
  <sheetData>
    <row r="1" spans="1:14" ht="30" customHeight="1">
      <c r="A1" s="54" t="s">
        <v>0</v>
      </c>
      <c r="B1" s="54"/>
      <c r="C1" s="54"/>
      <c r="D1" s="54"/>
      <c r="E1" s="54"/>
      <c r="F1" s="54"/>
      <c r="G1" s="54"/>
      <c r="H1" s="54"/>
      <c r="I1" s="54"/>
      <c r="J1" s="54"/>
    </row>
    <row r="3" spans="1:14" ht="15">
      <c r="A3" s="61" t="s">
        <v>1</v>
      </c>
      <c r="B3" s="61"/>
      <c r="C3" s="62"/>
      <c r="D3" s="62"/>
      <c r="E3" s="61" t="s">
        <v>2</v>
      </c>
      <c r="F3" s="61"/>
      <c r="G3" s="62"/>
      <c r="H3" s="62"/>
      <c r="I3" s="62"/>
      <c r="J3" s="62"/>
      <c r="L3" s="8" t="s">
        <v>3</v>
      </c>
      <c r="M3" s="8" t="s">
        <v>4</v>
      </c>
      <c r="N3" s="8" t="s">
        <v>5</v>
      </c>
    </row>
    <row r="4" spans="1:14" ht="15">
      <c r="A4" s="61" t="s">
        <v>6</v>
      </c>
      <c r="B4" s="61"/>
      <c r="C4" s="62"/>
      <c r="D4" s="62"/>
      <c r="E4" s="61" t="s">
        <v>7</v>
      </c>
      <c r="F4" s="61"/>
      <c r="G4" s="62"/>
      <c r="H4" s="62"/>
      <c r="I4" s="62"/>
      <c r="J4" s="62"/>
      <c r="L4" s="4" t="s">
        <v>8</v>
      </c>
      <c r="M4" s="4">
        <v>35</v>
      </c>
      <c r="N4" s="25">
        <f>ROUND(SUM(G16:G22),1)</f>
        <v>0</v>
      </c>
    </row>
    <row r="5" spans="1:14" ht="15">
      <c r="A5" s="61" t="s">
        <v>9</v>
      </c>
      <c r="B5" s="61"/>
      <c r="C5" s="62"/>
      <c r="D5" s="62"/>
      <c r="E5" s="61" t="s">
        <v>10</v>
      </c>
      <c r="F5" s="61"/>
      <c r="G5" s="62"/>
      <c r="H5" s="62"/>
      <c r="I5" s="62"/>
      <c r="J5" s="62"/>
      <c r="L5" s="4" t="s">
        <v>11</v>
      </c>
      <c r="M5" s="4">
        <v>40</v>
      </c>
      <c r="N5" s="25">
        <f>ROUND(SUM(G23:G32),1)</f>
        <v>0</v>
      </c>
    </row>
    <row r="6" spans="1:14" ht="15">
      <c r="A6" s="61" t="s">
        <v>12</v>
      </c>
      <c r="B6" s="63"/>
      <c r="C6" s="64"/>
      <c r="D6" s="62"/>
      <c r="E6" s="61" t="s">
        <v>13</v>
      </c>
      <c r="F6" s="61"/>
      <c r="G6" s="62"/>
      <c r="H6" s="62"/>
      <c r="I6" s="62"/>
      <c r="J6" s="62"/>
      <c r="L6" s="4" t="s">
        <v>14</v>
      </c>
      <c r="M6" s="4">
        <v>15</v>
      </c>
      <c r="N6" s="25">
        <f>ROUND(SUM(G33:G36),1)</f>
        <v>0</v>
      </c>
    </row>
    <row r="7" spans="1:14" ht="15">
      <c r="E7" s="61" t="s">
        <v>15</v>
      </c>
      <c r="F7" s="61"/>
      <c r="G7" s="62"/>
      <c r="H7" s="62"/>
      <c r="I7" s="62"/>
      <c r="J7" s="62"/>
      <c r="L7" s="4" t="s">
        <v>16</v>
      </c>
      <c r="M7" s="4">
        <v>5</v>
      </c>
      <c r="N7" s="25">
        <f>ROUND(SUM(G37:G38),1)</f>
        <v>0</v>
      </c>
    </row>
    <row r="8" spans="1:14" ht="33.950000000000003" customHeight="1">
      <c r="A8" s="55" t="s">
        <v>17</v>
      </c>
      <c r="B8" s="55"/>
      <c r="C8" s="55"/>
      <c r="D8" s="55"/>
      <c r="E8" s="55"/>
      <c r="F8" s="55"/>
      <c r="G8" s="55"/>
      <c r="H8" s="55"/>
      <c r="I8" s="55"/>
      <c r="J8" s="55"/>
      <c r="L8" s="4" t="s">
        <v>18</v>
      </c>
      <c r="M8" s="4">
        <v>5</v>
      </c>
      <c r="N8" s="25">
        <f>ROUND(SUM(G39:G39),1)</f>
        <v>0</v>
      </c>
    </row>
    <row r="9" spans="1:14" ht="42" customHeight="1">
      <c r="L9" s="60" t="s">
        <v>19</v>
      </c>
      <c r="M9" s="60"/>
      <c r="N9" s="9">
        <f>SUM(N4:N8)</f>
        <v>0</v>
      </c>
    </row>
    <row r="10" spans="1:14" ht="15">
      <c r="A10" s="56" t="s">
        <v>20</v>
      </c>
      <c r="B10" s="56"/>
      <c r="C10" s="56" t="s">
        <v>21</v>
      </c>
      <c r="D10" s="56"/>
      <c r="E10" s="56" t="s">
        <v>22</v>
      </c>
      <c r="F10" s="56"/>
      <c r="G10" s="56" t="s">
        <v>23</v>
      </c>
      <c r="H10" s="56"/>
      <c r="I10" s="58" t="s">
        <v>267</v>
      </c>
      <c r="J10" s="58"/>
    </row>
    <row r="11" spans="1:14" ht="36" customHeight="1">
      <c r="A11" s="57">
        <f>ROUND(SUM(G16:G39),1)</f>
        <v>0</v>
      </c>
      <c r="B11" s="57"/>
      <c r="C11" s="57">
        <f>ROUND(A11/10,2)</f>
        <v>0</v>
      </c>
      <c r="D11" s="57"/>
      <c r="E11" s="57">
        <f>COUNTIF(F16:F39,"&gt;=3")</f>
        <v>0</v>
      </c>
      <c r="F11" s="57"/>
      <c r="G11" s="57">
        <f>COUNTIF(J16:J39,"Thiếu minh chứng")</f>
        <v>0</v>
      </c>
      <c r="H11" s="57"/>
      <c r="I11" s="58"/>
      <c r="J11" s="58"/>
    </row>
    <row r="15" spans="1:14" ht="32.1" customHeight="1">
      <c r="A15" s="2" t="s">
        <v>24</v>
      </c>
      <c r="B15" s="2" t="s">
        <v>3</v>
      </c>
      <c r="C15" s="2" t="s">
        <v>25</v>
      </c>
      <c r="D15" s="2" t="s">
        <v>26</v>
      </c>
      <c r="E15" s="2" t="s">
        <v>4</v>
      </c>
      <c r="F15" s="2" t="s">
        <v>27</v>
      </c>
      <c r="G15" s="2" t="s">
        <v>28</v>
      </c>
      <c r="H15" s="2" t="s">
        <v>268</v>
      </c>
      <c r="I15" s="2" t="s">
        <v>29</v>
      </c>
      <c r="J15" s="2" t="s">
        <v>30</v>
      </c>
    </row>
    <row r="16" spans="1:14" ht="62.1" customHeight="1">
      <c r="A16" s="10">
        <v>1</v>
      </c>
      <c r="B16" s="11" t="s">
        <v>31</v>
      </c>
      <c r="C16" s="10" t="s">
        <v>32</v>
      </c>
      <c r="D16" s="10" t="s">
        <v>33</v>
      </c>
      <c r="E16" s="10">
        <v>7</v>
      </c>
      <c r="F16" s="12"/>
      <c r="G16" s="13">
        <f t="shared" ref="G16:G39" si="0">IF(F16="",0,E16*F16/4)</f>
        <v>0</v>
      </c>
      <c r="H16" s="14"/>
      <c r="I16" s="14"/>
      <c r="J16" s="10" t="str">
        <f t="shared" ref="J16:J39" si="1">IF(AND(F16&gt;=3,LEN(H16)=0),"Thiếu minh chứng","")</f>
        <v/>
      </c>
    </row>
    <row r="17" spans="1:10" ht="62.1" customHeight="1">
      <c r="A17" s="10">
        <v>2</v>
      </c>
      <c r="B17" s="11" t="s">
        <v>31</v>
      </c>
      <c r="C17" s="10" t="s">
        <v>34</v>
      </c>
      <c r="D17" s="10" t="s">
        <v>35</v>
      </c>
      <c r="E17" s="10">
        <v>6</v>
      </c>
      <c r="F17" s="12"/>
      <c r="G17" s="13">
        <f t="shared" si="0"/>
        <v>0</v>
      </c>
      <c r="H17" s="14"/>
      <c r="I17" s="14"/>
      <c r="J17" s="10" t="str">
        <f t="shared" si="1"/>
        <v/>
      </c>
    </row>
    <row r="18" spans="1:10" ht="62.1" customHeight="1">
      <c r="A18" s="10">
        <v>3</v>
      </c>
      <c r="B18" s="11" t="s">
        <v>31</v>
      </c>
      <c r="C18" s="10" t="s">
        <v>36</v>
      </c>
      <c r="D18" s="10" t="s">
        <v>37</v>
      </c>
      <c r="E18" s="10">
        <v>5</v>
      </c>
      <c r="F18" s="12"/>
      <c r="G18" s="13">
        <f t="shared" si="0"/>
        <v>0</v>
      </c>
      <c r="H18" s="14"/>
      <c r="I18" s="14"/>
      <c r="J18" s="10" t="str">
        <f t="shared" si="1"/>
        <v/>
      </c>
    </row>
    <row r="19" spans="1:10" ht="62.1" customHeight="1">
      <c r="A19" s="10">
        <v>4</v>
      </c>
      <c r="B19" s="11" t="s">
        <v>31</v>
      </c>
      <c r="C19" s="10" t="s">
        <v>38</v>
      </c>
      <c r="D19" s="10" t="s">
        <v>39</v>
      </c>
      <c r="E19" s="10">
        <v>5</v>
      </c>
      <c r="F19" s="12"/>
      <c r="G19" s="13">
        <f t="shared" si="0"/>
        <v>0</v>
      </c>
      <c r="H19" s="14"/>
      <c r="I19" s="14"/>
      <c r="J19" s="10" t="str">
        <f t="shared" si="1"/>
        <v/>
      </c>
    </row>
    <row r="20" spans="1:10" ht="62.1" customHeight="1">
      <c r="A20" s="10">
        <v>5</v>
      </c>
      <c r="B20" s="11" t="s">
        <v>31</v>
      </c>
      <c r="C20" s="10" t="s">
        <v>40</v>
      </c>
      <c r="D20" s="10" t="s">
        <v>41</v>
      </c>
      <c r="E20" s="10">
        <v>4</v>
      </c>
      <c r="F20" s="12"/>
      <c r="G20" s="13">
        <f t="shared" si="0"/>
        <v>0</v>
      </c>
      <c r="H20" s="14"/>
      <c r="I20" s="14"/>
      <c r="J20" s="10" t="str">
        <f t="shared" si="1"/>
        <v/>
      </c>
    </row>
    <row r="21" spans="1:10" ht="62.1" customHeight="1">
      <c r="A21" s="10">
        <v>6</v>
      </c>
      <c r="B21" s="11" t="s">
        <v>31</v>
      </c>
      <c r="C21" s="10" t="s">
        <v>42</v>
      </c>
      <c r="D21" s="10" t="s">
        <v>43</v>
      </c>
      <c r="E21" s="10">
        <v>4</v>
      </c>
      <c r="F21" s="12"/>
      <c r="G21" s="13">
        <f t="shared" si="0"/>
        <v>0</v>
      </c>
      <c r="H21" s="14"/>
      <c r="I21" s="14"/>
      <c r="J21" s="10" t="str">
        <f t="shared" si="1"/>
        <v/>
      </c>
    </row>
    <row r="22" spans="1:10" ht="62.1" customHeight="1">
      <c r="A22" s="10">
        <v>7</v>
      </c>
      <c r="B22" s="11" t="s">
        <v>31</v>
      </c>
      <c r="C22" s="10" t="s">
        <v>44</v>
      </c>
      <c r="D22" s="10" t="s">
        <v>45</v>
      </c>
      <c r="E22" s="10">
        <v>4</v>
      </c>
      <c r="F22" s="12"/>
      <c r="G22" s="13">
        <f t="shared" si="0"/>
        <v>0</v>
      </c>
      <c r="H22" s="14"/>
      <c r="I22" s="14"/>
      <c r="J22" s="10" t="str">
        <f t="shared" si="1"/>
        <v/>
      </c>
    </row>
    <row r="23" spans="1:10" ht="62.1" customHeight="1">
      <c r="A23" s="10">
        <v>8</v>
      </c>
      <c r="B23" s="15" t="s">
        <v>46</v>
      </c>
      <c r="C23" s="10" t="s">
        <v>47</v>
      </c>
      <c r="D23" s="10" t="s">
        <v>48</v>
      </c>
      <c r="E23" s="10">
        <v>6</v>
      </c>
      <c r="F23" s="12"/>
      <c r="G23" s="13">
        <f t="shared" si="0"/>
        <v>0</v>
      </c>
      <c r="H23" s="14"/>
      <c r="I23" s="14"/>
      <c r="J23" s="10" t="str">
        <f t="shared" si="1"/>
        <v/>
      </c>
    </row>
    <row r="24" spans="1:10" ht="62.1" customHeight="1">
      <c r="A24" s="10">
        <v>9</v>
      </c>
      <c r="B24" s="15" t="s">
        <v>46</v>
      </c>
      <c r="C24" s="10" t="s">
        <v>49</v>
      </c>
      <c r="D24" s="10" t="s">
        <v>50</v>
      </c>
      <c r="E24" s="10">
        <v>5</v>
      </c>
      <c r="F24" s="12"/>
      <c r="G24" s="13">
        <f t="shared" si="0"/>
        <v>0</v>
      </c>
      <c r="H24" s="14"/>
      <c r="I24" s="14"/>
      <c r="J24" s="10" t="str">
        <f t="shared" si="1"/>
        <v/>
      </c>
    </row>
    <row r="25" spans="1:10" ht="62.1" customHeight="1">
      <c r="A25" s="10">
        <v>10</v>
      </c>
      <c r="B25" s="15" t="s">
        <v>46</v>
      </c>
      <c r="C25" s="10" t="s">
        <v>51</v>
      </c>
      <c r="D25" s="10" t="s">
        <v>52</v>
      </c>
      <c r="E25" s="10">
        <v>5</v>
      </c>
      <c r="F25" s="12"/>
      <c r="G25" s="13">
        <f t="shared" si="0"/>
        <v>0</v>
      </c>
      <c r="H25" s="14"/>
      <c r="I25" s="14"/>
      <c r="J25" s="10" t="str">
        <f t="shared" si="1"/>
        <v/>
      </c>
    </row>
    <row r="26" spans="1:10" ht="62.1" customHeight="1">
      <c r="A26" s="10">
        <v>11</v>
      </c>
      <c r="B26" s="15" t="s">
        <v>46</v>
      </c>
      <c r="C26" s="10" t="s">
        <v>53</v>
      </c>
      <c r="D26" s="10" t="s">
        <v>54</v>
      </c>
      <c r="E26" s="10">
        <v>6</v>
      </c>
      <c r="F26" s="12"/>
      <c r="G26" s="13">
        <f t="shared" si="0"/>
        <v>0</v>
      </c>
      <c r="H26" s="14"/>
      <c r="I26" s="14"/>
      <c r="J26" s="10" t="str">
        <f t="shared" si="1"/>
        <v/>
      </c>
    </row>
    <row r="27" spans="1:10" ht="62.1" customHeight="1">
      <c r="A27" s="10">
        <v>12</v>
      </c>
      <c r="B27" s="15" t="s">
        <v>46</v>
      </c>
      <c r="C27" s="10" t="s">
        <v>55</v>
      </c>
      <c r="D27" s="10" t="s">
        <v>56</v>
      </c>
      <c r="E27" s="10">
        <v>4</v>
      </c>
      <c r="F27" s="12"/>
      <c r="G27" s="13">
        <f t="shared" si="0"/>
        <v>0</v>
      </c>
      <c r="H27" s="14"/>
      <c r="I27" s="14"/>
      <c r="J27" s="10" t="str">
        <f t="shared" si="1"/>
        <v/>
      </c>
    </row>
    <row r="28" spans="1:10" ht="62.1" customHeight="1">
      <c r="A28" s="10">
        <v>13</v>
      </c>
      <c r="B28" s="15" t="s">
        <v>46</v>
      </c>
      <c r="C28" s="10" t="s">
        <v>57</v>
      </c>
      <c r="D28" s="10" t="s">
        <v>58</v>
      </c>
      <c r="E28" s="10">
        <v>5</v>
      </c>
      <c r="F28" s="12"/>
      <c r="G28" s="13">
        <f t="shared" si="0"/>
        <v>0</v>
      </c>
      <c r="H28" s="14"/>
      <c r="I28" s="14"/>
      <c r="J28" s="10" t="str">
        <f t="shared" si="1"/>
        <v/>
      </c>
    </row>
    <row r="29" spans="1:10" ht="62.1" customHeight="1">
      <c r="A29" s="10">
        <v>14</v>
      </c>
      <c r="B29" s="15" t="s">
        <v>46</v>
      </c>
      <c r="C29" s="10" t="s">
        <v>59</v>
      </c>
      <c r="D29" s="10" t="s">
        <v>60</v>
      </c>
      <c r="E29" s="10">
        <v>3</v>
      </c>
      <c r="F29" s="12"/>
      <c r="G29" s="13">
        <f t="shared" si="0"/>
        <v>0</v>
      </c>
      <c r="H29" s="14"/>
      <c r="I29" s="14"/>
      <c r="J29" s="10" t="str">
        <f t="shared" si="1"/>
        <v/>
      </c>
    </row>
    <row r="30" spans="1:10" ht="62.1" customHeight="1">
      <c r="A30" s="10">
        <v>15</v>
      </c>
      <c r="B30" s="15" t="s">
        <v>46</v>
      </c>
      <c r="C30" s="10" t="s">
        <v>61</v>
      </c>
      <c r="D30" s="10" t="s">
        <v>62</v>
      </c>
      <c r="E30" s="10">
        <v>3</v>
      </c>
      <c r="F30" s="12"/>
      <c r="G30" s="13">
        <f t="shared" si="0"/>
        <v>0</v>
      </c>
      <c r="H30" s="14"/>
      <c r="I30" s="14"/>
      <c r="J30" s="10" t="str">
        <f t="shared" si="1"/>
        <v/>
      </c>
    </row>
    <row r="31" spans="1:10" ht="62.1" customHeight="1">
      <c r="A31" s="10">
        <v>16</v>
      </c>
      <c r="B31" s="15" t="s">
        <v>46</v>
      </c>
      <c r="C31" s="10" t="s">
        <v>63</v>
      </c>
      <c r="D31" s="10" t="s">
        <v>64</v>
      </c>
      <c r="E31" s="10">
        <v>2</v>
      </c>
      <c r="F31" s="12"/>
      <c r="G31" s="13">
        <f t="shared" si="0"/>
        <v>0</v>
      </c>
      <c r="H31" s="14"/>
      <c r="I31" s="14"/>
      <c r="J31" s="10" t="str">
        <f t="shared" si="1"/>
        <v/>
      </c>
    </row>
    <row r="32" spans="1:10" ht="62.1" customHeight="1">
      <c r="A32" s="10">
        <v>17</v>
      </c>
      <c r="B32" s="15" t="s">
        <v>46</v>
      </c>
      <c r="C32" s="10" t="s">
        <v>65</v>
      </c>
      <c r="D32" s="10" t="s">
        <v>66</v>
      </c>
      <c r="E32" s="10">
        <v>1</v>
      </c>
      <c r="F32" s="12"/>
      <c r="G32" s="13">
        <f t="shared" si="0"/>
        <v>0</v>
      </c>
      <c r="H32" s="14"/>
      <c r="I32" s="14"/>
      <c r="J32" s="10" t="str">
        <f t="shared" si="1"/>
        <v/>
      </c>
    </row>
    <row r="33" spans="1:10" ht="62.1" customHeight="1">
      <c r="A33" s="10">
        <v>18</v>
      </c>
      <c r="B33" s="16" t="s">
        <v>67</v>
      </c>
      <c r="C33" s="10" t="s">
        <v>68</v>
      </c>
      <c r="D33" s="10" t="s">
        <v>69</v>
      </c>
      <c r="E33" s="10">
        <v>4</v>
      </c>
      <c r="F33" s="12"/>
      <c r="G33" s="13">
        <f t="shared" si="0"/>
        <v>0</v>
      </c>
      <c r="H33" s="14"/>
      <c r="I33" s="14"/>
      <c r="J33" s="10" t="str">
        <f t="shared" si="1"/>
        <v/>
      </c>
    </row>
    <row r="34" spans="1:10" ht="62.1" customHeight="1">
      <c r="A34" s="10">
        <v>19</v>
      </c>
      <c r="B34" s="16" t="s">
        <v>67</v>
      </c>
      <c r="C34" s="10" t="s">
        <v>70</v>
      </c>
      <c r="D34" s="10" t="s">
        <v>71</v>
      </c>
      <c r="E34" s="10">
        <v>6</v>
      </c>
      <c r="F34" s="12"/>
      <c r="G34" s="13">
        <f t="shared" si="0"/>
        <v>0</v>
      </c>
      <c r="H34" s="14"/>
      <c r="I34" s="14"/>
      <c r="J34" s="10" t="str">
        <f t="shared" si="1"/>
        <v/>
      </c>
    </row>
    <row r="35" spans="1:10" ht="62.1" customHeight="1">
      <c r="A35" s="10">
        <v>20</v>
      </c>
      <c r="B35" s="16" t="s">
        <v>67</v>
      </c>
      <c r="C35" s="10" t="s">
        <v>72</v>
      </c>
      <c r="D35" s="10" t="s">
        <v>73</v>
      </c>
      <c r="E35" s="10">
        <v>3</v>
      </c>
      <c r="F35" s="12"/>
      <c r="G35" s="13">
        <f t="shared" si="0"/>
        <v>0</v>
      </c>
      <c r="H35" s="14"/>
      <c r="I35" s="14"/>
      <c r="J35" s="10" t="str">
        <f t="shared" si="1"/>
        <v/>
      </c>
    </row>
    <row r="36" spans="1:10" ht="62.1" customHeight="1">
      <c r="A36" s="10">
        <v>21</v>
      </c>
      <c r="B36" s="16" t="s">
        <v>67</v>
      </c>
      <c r="C36" s="10" t="s">
        <v>74</v>
      </c>
      <c r="D36" s="10" t="s">
        <v>75</v>
      </c>
      <c r="E36" s="10">
        <v>2</v>
      </c>
      <c r="F36" s="12"/>
      <c r="G36" s="13">
        <f t="shared" si="0"/>
        <v>0</v>
      </c>
      <c r="H36" s="14"/>
      <c r="I36" s="14"/>
      <c r="J36" s="10" t="str">
        <f t="shared" si="1"/>
        <v/>
      </c>
    </row>
    <row r="37" spans="1:10" ht="62.1" customHeight="1">
      <c r="A37" s="10">
        <v>22</v>
      </c>
      <c r="B37" s="17" t="s">
        <v>76</v>
      </c>
      <c r="C37" s="10" t="s">
        <v>77</v>
      </c>
      <c r="D37" s="10" t="s">
        <v>78</v>
      </c>
      <c r="E37" s="10">
        <v>3</v>
      </c>
      <c r="F37" s="12"/>
      <c r="G37" s="13">
        <f t="shared" si="0"/>
        <v>0</v>
      </c>
      <c r="H37" s="14"/>
      <c r="I37" s="14"/>
      <c r="J37" s="10" t="str">
        <f t="shared" si="1"/>
        <v/>
      </c>
    </row>
    <row r="38" spans="1:10" ht="62.1" customHeight="1">
      <c r="A38" s="10">
        <v>23</v>
      </c>
      <c r="B38" s="17" t="s">
        <v>76</v>
      </c>
      <c r="C38" s="10" t="s">
        <v>79</v>
      </c>
      <c r="D38" s="10" t="s">
        <v>80</v>
      </c>
      <c r="E38" s="10">
        <v>2</v>
      </c>
      <c r="F38" s="12"/>
      <c r="G38" s="13">
        <f t="shared" si="0"/>
        <v>0</v>
      </c>
      <c r="H38" s="14"/>
      <c r="I38" s="14"/>
      <c r="J38" s="10" t="str">
        <f t="shared" si="1"/>
        <v/>
      </c>
    </row>
    <row r="39" spans="1:10" ht="62.1" customHeight="1">
      <c r="A39" s="10">
        <v>24</v>
      </c>
      <c r="B39" s="18" t="s">
        <v>81</v>
      </c>
      <c r="C39" s="10" t="s">
        <v>82</v>
      </c>
      <c r="D39" s="10" t="s">
        <v>83</v>
      </c>
      <c r="E39" s="10">
        <v>5</v>
      </c>
      <c r="F39" s="12"/>
      <c r="G39" s="13">
        <f t="shared" si="0"/>
        <v>0</v>
      </c>
      <c r="H39" s="14"/>
      <c r="I39" s="14"/>
      <c r="J39" s="10" t="str">
        <f t="shared" si="1"/>
        <v/>
      </c>
    </row>
    <row r="40" spans="1:10" ht="15">
      <c r="A40" s="59" t="s">
        <v>19</v>
      </c>
      <c r="B40" s="59"/>
      <c r="C40" s="59"/>
      <c r="D40" s="59"/>
      <c r="E40" s="7">
        <f>SUM(E16:E39)</f>
        <v>100</v>
      </c>
      <c r="F40" s="7"/>
      <c r="G40" s="7">
        <f>ROUND(SUM(G16:G39),1)</f>
        <v>0</v>
      </c>
      <c r="H40" s="7"/>
      <c r="I40" s="7"/>
      <c r="J40" s="7"/>
    </row>
  </sheetData>
  <mergeCells count="31">
    <mergeCell ref="A40:D40"/>
    <mergeCell ref="L9:M9"/>
    <mergeCell ref="A3:B3"/>
    <mergeCell ref="C3:D3"/>
    <mergeCell ref="A4:B4"/>
    <mergeCell ref="C4:D4"/>
    <mergeCell ref="A5:B5"/>
    <mergeCell ref="C5:D5"/>
    <mergeCell ref="A6:B6"/>
    <mergeCell ref="C6:D6"/>
    <mergeCell ref="E3:F3"/>
    <mergeCell ref="G3:J3"/>
    <mergeCell ref="E4:F4"/>
    <mergeCell ref="G4:J4"/>
    <mergeCell ref="E5:F5"/>
    <mergeCell ref="G5:J5"/>
    <mergeCell ref="A1:J1"/>
    <mergeCell ref="A8:J8"/>
    <mergeCell ref="A10:B10"/>
    <mergeCell ref="A11:B11"/>
    <mergeCell ref="C10:D10"/>
    <mergeCell ref="C11:D11"/>
    <mergeCell ref="E10:F10"/>
    <mergeCell ref="E11:F11"/>
    <mergeCell ref="G10:H10"/>
    <mergeCell ref="G11:H11"/>
    <mergeCell ref="I10:J11"/>
    <mergeCell ref="E6:F6"/>
    <mergeCell ref="G6:J6"/>
    <mergeCell ref="E7:F7"/>
    <mergeCell ref="G7:J7"/>
  </mergeCells>
  <conditionalFormatting sqref="G16:G39">
    <cfRule type="dataBar" priority="6">
      <dataBar>
        <cfvo type="min"/>
        <cfvo type="max"/>
        <color rgb="FF16A34A"/>
      </dataBar>
    </cfRule>
    <cfRule type="dataBar" priority="8">
      <dataBar>
        <cfvo type="min"/>
        <cfvo type="max"/>
        <color rgb="FF16A34A"/>
      </dataBar>
      <extLst>
        <ext xmlns:x14="http://schemas.microsoft.com/office/spreadsheetml/2009/9/main" uri="{B025F937-C7B1-47D3-B67F-A62EFF666E3E}">
          <x14:id>{2B823428-D6D1-9B52-3F57-0CB9391F2C57}</x14:id>
        </ext>
      </extLst>
    </cfRule>
  </conditionalFormatting>
  <conditionalFormatting sqref="J16:J39">
    <cfRule type="expression" dxfId="9" priority="7">
      <formula>J16="Thiếu minh chứng"</formula>
    </cfRule>
  </conditionalFormatting>
  <dataValidations count="1">
    <dataValidation type="list" sqref="F16:F39" xr:uid="{00000000-0002-0000-0000-000000000000}">
      <formula1>"0,1,2,3,4"</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2B823428-D6D1-9B52-3F57-0CB9391F2C57}">
            <x14:dataBar>
              <x14:cfvo type="min"/>
              <x14:cfvo type="max"/>
              <x14:negativeFillColor auto="1"/>
              <x14:axisColor auto="1"/>
            </x14:dataBar>
          </x14:cfRule>
          <xm:sqref>G16:G39</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6"/>
  <sheetViews>
    <sheetView workbookViewId="0">
      <selection sqref="A1:H1"/>
    </sheetView>
  </sheetViews>
  <sheetFormatPr defaultRowHeight="14.25"/>
  <cols>
    <col min="1" max="1" width="5" customWidth="1"/>
    <col min="2" max="2" width="14" customWidth="1"/>
    <col min="3" max="3" width="24" customWidth="1"/>
    <col min="4" max="4" width="22" customWidth="1"/>
    <col min="5" max="5" width="14" customWidth="1"/>
    <col min="6" max="6" width="42" customWidth="1"/>
    <col min="7" max="7" width="32" customWidth="1"/>
    <col min="8" max="8" width="26" customWidth="1"/>
  </cols>
  <sheetData>
    <row r="1" spans="1:8" ht="19.5">
      <c r="A1" s="65" t="s">
        <v>84</v>
      </c>
      <c r="B1" s="65"/>
      <c r="C1" s="65"/>
      <c r="D1" s="65"/>
      <c r="E1" s="65"/>
      <c r="F1" s="65"/>
      <c r="G1" s="65"/>
      <c r="H1" s="65"/>
    </row>
    <row r="3" spans="1:8">
      <c r="A3" s="66" t="s">
        <v>85</v>
      </c>
      <c r="B3" s="66"/>
      <c r="C3" s="66"/>
      <c r="D3" s="66"/>
      <c r="E3" s="66"/>
      <c r="F3" s="66"/>
      <c r="G3" s="66"/>
      <c r="H3" s="66"/>
    </row>
    <row r="5" spans="1:8" ht="15">
      <c r="A5" s="2" t="s">
        <v>24</v>
      </c>
      <c r="B5" s="2" t="s">
        <v>86</v>
      </c>
      <c r="C5" s="2" t="s">
        <v>87</v>
      </c>
      <c r="D5" s="2" t="s">
        <v>88</v>
      </c>
      <c r="E5" s="2" t="s">
        <v>89</v>
      </c>
      <c r="F5" s="2" t="s">
        <v>90</v>
      </c>
      <c r="G5" s="2" t="s">
        <v>91</v>
      </c>
      <c r="H5" s="2" t="s">
        <v>92</v>
      </c>
    </row>
    <row r="6" spans="1:8" ht="50.1" customHeight="1">
      <c r="A6" s="3">
        <v>1</v>
      </c>
      <c r="B6" s="6"/>
      <c r="C6" s="6"/>
      <c r="D6" s="6"/>
      <c r="E6" s="20"/>
      <c r="F6" s="6"/>
      <c r="G6" s="6"/>
      <c r="H6" s="6"/>
    </row>
    <row r="7" spans="1:8" ht="50.1" customHeight="1">
      <c r="A7" s="3">
        <v>2</v>
      </c>
      <c r="B7" s="6"/>
      <c r="C7" s="6"/>
      <c r="D7" s="6"/>
      <c r="E7" s="20"/>
      <c r="F7" s="6"/>
      <c r="G7" s="6"/>
      <c r="H7" s="6"/>
    </row>
    <row r="8" spans="1:8" ht="50.1" customHeight="1">
      <c r="A8" s="3">
        <v>3</v>
      </c>
      <c r="B8" s="6"/>
      <c r="C8" s="6"/>
      <c r="D8" s="6"/>
      <c r="E8" s="20"/>
      <c r="F8" s="6"/>
      <c r="G8" s="6"/>
      <c r="H8" s="6"/>
    </row>
    <row r="9" spans="1:8" ht="50.1" customHeight="1">
      <c r="A9" s="3">
        <v>4</v>
      </c>
      <c r="B9" s="6"/>
      <c r="C9" s="6"/>
      <c r="D9" s="6"/>
      <c r="E9" s="20"/>
      <c r="F9" s="6"/>
      <c r="G9" s="6"/>
      <c r="H9" s="6"/>
    </row>
    <row r="10" spans="1:8" ht="50.1" customHeight="1">
      <c r="A10" s="3">
        <v>5</v>
      </c>
      <c r="B10" s="6"/>
      <c r="C10" s="6"/>
      <c r="D10" s="6"/>
      <c r="E10" s="20"/>
      <c r="F10" s="6"/>
      <c r="G10" s="6"/>
      <c r="H10" s="6"/>
    </row>
    <row r="11" spans="1:8" ht="50.1" customHeight="1">
      <c r="A11" s="3">
        <v>6</v>
      </c>
      <c r="B11" s="6"/>
      <c r="C11" s="6"/>
      <c r="D11" s="6"/>
      <c r="E11" s="20"/>
      <c r="F11" s="6"/>
      <c r="G11" s="6"/>
      <c r="H11" s="6"/>
    </row>
    <row r="12" spans="1:8" ht="50.1" customHeight="1">
      <c r="A12" s="3">
        <v>7</v>
      </c>
      <c r="B12" s="6"/>
      <c r="C12" s="6"/>
      <c r="D12" s="6"/>
      <c r="E12" s="20"/>
      <c r="F12" s="6"/>
      <c r="G12" s="6"/>
      <c r="H12" s="6"/>
    </row>
    <row r="13" spans="1:8" ht="50.1" customHeight="1">
      <c r="A13" s="3">
        <v>8</v>
      </c>
      <c r="B13" s="6"/>
      <c r="C13" s="6"/>
      <c r="D13" s="6"/>
      <c r="E13" s="20"/>
      <c r="F13" s="6"/>
      <c r="G13" s="6"/>
      <c r="H13" s="6"/>
    </row>
    <row r="14" spans="1:8" ht="50.1" customHeight="1">
      <c r="A14" s="3">
        <v>9</v>
      </c>
      <c r="B14" s="6"/>
      <c r="C14" s="6"/>
      <c r="D14" s="6"/>
      <c r="E14" s="20"/>
      <c r="F14" s="6"/>
      <c r="G14" s="6"/>
      <c r="H14" s="6"/>
    </row>
    <row r="15" spans="1:8" ht="50.1" customHeight="1">
      <c r="A15" s="3">
        <v>10</v>
      </c>
      <c r="B15" s="6"/>
      <c r="C15" s="6"/>
      <c r="D15" s="6"/>
      <c r="E15" s="20"/>
      <c r="F15" s="6"/>
      <c r="G15" s="6"/>
      <c r="H15" s="6"/>
    </row>
    <row r="16" spans="1:8" ht="15">
      <c r="A16" s="67" t="s">
        <v>93</v>
      </c>
      <c r="B16" s="67"/>
      <c r="C16" s="67"/>
      <c r="D16" s="67"/>
      <c r="E16" s="21">
        <f>SUM(E6:E15)</f>
        <v>0</v>
      </c>
      <c r="F16" s="67" t="str">
        <f>IF(ABS(E16-1)&lt;0.0001,"OK – Tổng 100%","CẢNH BÁO – Tổng đóng góp phải bằng 100%")</f>
        <v>CẢNH BÁO – Tổng đóng góp phải bằng 100%</v>
      </c>
      <c r="G16" s="67"/>
      <c r="H16" s="67"/>
    </row>
  </sheetData>
  <mergeCells count="4">
    <mergeCell ref="A1:H1"/>
    <mergeCell ref="A3:H3"/>
    <mergeCell ref="A16:D16"/>
    <mergeCell ref="F16:H16"/>
  </mergeCells>
  <conditionalFormatting sqref="F16:H16">
    <cfRule type="expression" dxfId="8" priority="3">
      <formula>E16&lt;&gt;1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5"/>
  <sheetViews>
    <sheetView topLeftCell="A20" workbookViewId="0">
      <selection sqref="A1:G1"/>
    </sheetView>
  </sheetViews>
  <sheetFormatPr defaultRowHeight="14.25"/>
  <cols>
    <col min="1" max="1" width="6" customWidth="1"/>
    <col min="2" max="2" width="34" customWidth="1"/>
    <col min="3" max="3" width="60" customWidth="1"/>
    <col min="4" max="4" width="14" customWidth="1"/>
    <col min="5" max="5" width="30" customWidth="1"/>
    <col min="6" max="6" width="22" customWidth="1"/>
    <col min="7" max="7" width="30" customWidth="1"/>
  </cols>
  <sheetData>
    <row r="1" spans="1:7" ht="19.5">
      <c r="A1" s="65" t="s">
        <v>94</v>
      </c>
      <c r="B1" s="65"/>
      <c r="C1" s="65"/>
      <c r="D1" s="65"/>
      <c r="E1" s="65"/>
      <c r="F1" s="65"/>
      <c r="G1" s="65"/>
    </row>
    <row r="3" spans="1:7">
      <c r="A3" s="66" t="s">
        <v>95</v>
      </c>
      <c r="B3" s="66"/>
      <c r="C3" s="66"/>
      <c r="D3" s="66"/>
      <c r="E3" s="66"/>
      <c r="F3" s="66"/>
      <c r="G3" s="66"/>
    </row>
    <row r="5" spans="1:7" ht="15">
      <c r="A5" s="2" t="s">
        <v>96</v>
      </c>
      <c r="B5" s="2" t="s">
        <v>97</v>
      </c>
      <c r="C5" s="2" t="s">
        <v>98</v>
      </c>
      <c r="D5" s="2" t="s">
        <v>99</v>
      </c>
      <c r="E5" s="2" t="s">
        <v>91</v>
      </c>
      <c r="F5" s="2" t="s">
        <v>100</v>
      </c>
      <c r="G5" s="2" t="s">
        <v>92</v>
      </c>
    </row>
    <row r="6" spans="1:7" ht="51.95" customHeight="1">
      <c r="A6" s="3">
        <v>1</v>
      </c>
      <c r="B6" s="3" t="s">
        <v>101</v>
      </c>
      <c r="C6" s="3" t="s">
        <v>102</v>
      </c>
      <c r="D6" s="5"/>
      <c r="E6" s="6"/>
      <c r="F6" s="6"/>
      <c r="G6" s="6"/>
    </row>
    <row r="7" spans="1:7" ht="51.95" customHeight="1">
      <c r="A7" s="3">
        <v>2</v>
      </c>
      <c r="B7" s="3" t="s">
        <v>103</v>
      </c>
      <c r="C7" s="3" t="s">
        <v>104</v>
      </c>
      <c r="D7" s="5"/>
      <c r="E7" s="6"/>
      <c r="F7" s="6"/>
      <c r="G7" s="6"/>
    </row>
    <row r="8" spans="1:7" ht="51.95" customHeight="1">
      <c r="A8" s="3">
        <v>3</v>
      </c>
      <c r="B8" s="3" t="s">
        <v>105</v>
      </c>
      <c r="C8" s="3" t="s">
        <v>106</v>
      </c>
      <c r="D8" s="5"/>
      <c r="E8" s="6"/>
      <c r="F8" s="6"/>
      <c r="G8" s="6"/>
    </row>
    <row r="9" spans="1:7" ht="51.95" customHeight="1">
      <c r="A9" s="3">
        <v>4</v>
      </c>
      <c r="B9" s="3" t="s">
        <v>107</v>
      </c>
      <c r="C9" s="3" t="s">
        <v>108</v>
      </c>
      <c r="D9" s="5"/>
      <c r="E9" s="6"/>
      <c r="F9" s="6"/>
      <c r="G9" s="6"/>
    </row>
    <row r="10" spans="1:7" ht="51.95" customHeight="1">
      <c r="A10" s="3">
        <v>5</v>
      </c>
      <c r="B10" s="3" t="s">
        <v>109</v>
      </c>
      <c r="C10" s="3" t="s">
        <v>110</v>
      </c>
      <c r="D10" s="5"/>
      <c r="E10" s="6"/>
      <c r="F10" s="6"/>
      <c r="G10" s="6"/>
    </row>
    <row r="11" spans="1:7" ht="51.95" customHeight="1">
      <c r="A11" s="3">
        <v>6</v>
      </c>
      <c r="B11" s="3" t="s">
        <v>111</v>
      </c>
      <c r="C11" s="3" t="s">
        <v>112</v>
      </c>
      <c r="D11" s="5"/>
      <c r="E11" s="6"/>
      <c r="F11" s="6"/>
      <c r="G11" s="6"/>
    </row>
    <row r="12" spans="1:7" ht="51.95" customHeight="1">
      <c r="A12" s="3">
        <v>7</v>
      </c>
      <c r="B12" s="3" t="s">
        <v>113</v>
      </c>
      <c r="C12" s="3" t="s">
        <v>114</v>
      </c>
      <c r="D12" s="5"/>
      <c r="E12" s="6"/>
      <c r="F12" s="6"/>
      <c r="G12" s="6"/>
    </row>
    <row r="13" spans="1:7" ht="51.95" customHeight="1">
      <c r="A13" s="3">
        <v>8</v>
      </c>
      <c r="B13" s="3" t="s">
        <v>115</v>
      </c>
      <c r="C13" s="3" t="s">
        <v>116</v>
      </c>
      <c r="D13" s="5"/>
      <c r="E13" s="6"/>
      <c r="F13" s="6"/>
      <c r="G13" s="6"/>
    </row>
    <row r="14" spans="1:7" ht="51.95" customHeight="1">
      <c r="A14" s="3">
        <v>9</v>
      </c>
      <c r="B14" s="3" t="s">
        <v>117</v>
      </c>
      <c r="C14" s="3" t="s">
        <v>118</v>
      </c>
      <c r="D14" s="5"/>
      <c r="E14" s="6"/>
      <c r="F14" s="6"/>
      <c r="G14" s="6"/>
    </row>
    <row r="15" spans="1:7" ht="51.95" customHeight="1">
      <c r="A15" s="3">
        <v>10</v>
      </c>
      <c r="B15" s="3" t="s">
        <v>119</v>
      </c>
      <c r="C15" s="3" t="s">
        <v>120</v>
      </c>
      <c r="D15" s="5"/>
      <c r="E15" s="6"/>
      <c r="F15" s="6"/>
      <c r="G15" s="6"/>
    </row>
    <row r="17" spans="1:7" ht="15">
      <c r="A17" s="68" t="s">
        <v>121</v>
      </c>
      <c r="B17" s="68"/>
      <c r="C17" s="68"/>
      <c r="D17" s="68"/>
      <c r="E17" s="68"/>
      <c r="F17" s="68"/>
      <c r="G17" s="68"/>
    </row>
    <row r="18" spans="1:7" ht="15">
      <c r="A18" s="22" t="s">
        <v>122</v>
      </c>
      <c r="B18" s="22" t="s">
        <v>123</v>
      </c>
      <c r="C18" s="22" t="s">
        <v>124</v>
      </c>
      <c r="D18" s="22" t="s">
        <v>99</v>
      </c>
      <c r="E18" s="22" t="s">
        <v>91</v>
      </c>
      <c r="F18" s="22" t="s">
        <v>100</v>
      </c>
      <c r="G18" s="22" t="s">
        <v>92</v>
      </c>
    </row>
    <row r="19" spans="1:7" ht="56.1" customHeight="1">
      <c r="A19" s="3">
        <v>1</v>
      </c>
      <c r="B19" s="3" t="s">
        <v>125</v>
      </c>
      <c r="C19" s="3" t="s">
        <v>126</v>
      </c>
      <c r="D19" s="5"/>
      <c r="E19" s="6"/>
      <c r="F19" s="6"/>
      <c r="G19" s="6"/>
    </row>
    <row r="20" spans="1:7" ht="56.1" customHeight="1">
      <c r="A20" s="3">
        <v>2</v>
      </c>
      <c r="B20" s="3" t="s">
        <v>127</v>
      </c>
      <c r="C20" s="3" t="s">
        <v>128</v>
      </c>
      <c r="D20" s="5"/>
      <c r="E20" s="6"/>
      <c r="F20" s="6"/>
      <c r="G20" s="6"/>
    </row>
    <row r="21" spans="1:7" ht="56.1" customHeight="1">
      <c r="A21" s="3">
        <v>3</v>
      </c>
      <c r="B21" s="3" t="s">
        <v>129</v>
      </c>
      <c r="C21" s="3" t="s">
        <v>130</v>
      </c>
      <c r="D21" s="5"/>
      <c r="E21" s="6"/>
      <c r="F21" s="6"/>
      <c r="G21" s="6"/>
    </row>
    <row r="22" spans="1:7" ht="56.1" customHeight="1">
      <c r="A22" s="3">
        <v>4</v>
      </c>
      <c r="B22" s="3" t="s">
        <v>131</v>
      </c>
      <c r="C22" s="3" t="s">
        <v>132</v>
      </c>
      <c r="D22" s="5"/>
      <c r="E22" s="6"/>
      <c r="F22" s="6"/>
      <c r="G22" s="6"/>
    </row>
    <row r="23" spans="1:7" ht="56.1" customHeight="1">
      <c r="A23" s="3">
        <v>5</v>
      </c>
      <c r="B23" s="3" t="s">
        <v>133</v>
      </c>
      <c r="C23" s="3" t="s">
        <v>134</v>
      </c>
      <c r="D23" s="5"/>
      <c r="E23" s="6"/>
      <c r="F23" s="6"/>
      <c r="G23" s="6"/>
    </row>
    <row r="24" spans="1:7" ht="56.1" customHeight="1">
      <c r="A24" s="3">
        <v>6</v>
      </c>
      <c r="B24" s="3" t="s">
        <v>135</v>
      </c>
      <c r="C24" s="3" t="s">
        <v>136</v>
      </c>
      <c r="D24" s="5"/>
      <c r="E24" s="6"/>
      <c r="F24" s="6"/>
      <c r="G24" s="6"/>
    </row>
    <row r="25" spans="1:7" ht="56.1" customHeight="1">
      <c r="A25" s="3">
        <v>7</v>
      </c>
      <c r="B25" s="3" t="s">
        <v>137</v>
      </c>
      <c r="C25" s="3" t="s">
        <v>138</v>
      </c>
      <c r="D25" s="5"/>
      <c r="E25" s="6"/>
      <c r="F25" s="6"/>
      <c r="G25" s="6"/>
    </row>
  </sheetData>
  <mergeCells count="3">
    <mergeCell ref="A1:G1"/>
    <mergeCell ref="A3:G3"/>
    <mergeCell ref="A17:G17"/>
  </mergeCells>
  <conditionalFormatting sqref="D6:D15">
    <cfRule type="expression" dxfId="7" priority="1">
      <formula>D6="Đạt"</formula>
    </cfRule>
    <cfRule type="expression" dxfId="6" priority="2">
      <formula>D6="Một phần"</formula>
    </cfRule>
    <cfRule type="expression" dxfId="5" priority="3">
      <formula>D6="Chưa"</formula>
    </cfRule>
  </conditionalFormatting>
  <dataValidations count="1">
    <dataValidation type="list" sqref="D6:D15 D19:D25" xr:uid="{00000000-0002-0000-0200-000000000000}">
      <formula1>"Chưa,Một phần,Đạt"</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9"/>
  <sheetViews>
    <sheetView workbookViewId="0"/>
  </sheetViews>
  <sheetFormatPr defaultRowHeight="14.25"/>
  <cols>
    <col min="1" max="1" width="28" customWidth="1"/>
    <col min="2" max="2" width="105" customWidth="1"/>
  </cols>
  <sheetData>
    <row r="1" spans="1:6" ht="19.5">
      <c r="A1" s="65" t="s">
        <v>139</v>
      </c>
      <c r="B1" s="65"/>
      <c r="C1" s="19"/>
      <c r="D1" s="19"/>
      <c r="E1" s="19"/>
      <c r="F1" s="19"/>
    </row>
    <row r="3" spans="1:6" ht="54.95" customHeight="1">
      <c r="A3" s="23" t="s">
        <v>140</v>
      </c>
      <c r="B3" s="24" t="s">
        <v>141</v>
      </c>
    </row>
    <row r="4" spans="1:6" ht="54.95" customHeight="1">
      <c r="A4" s="23" t="s">
        <v>142</v>
      </c>
      <c r="B4" s="24" t="s">
        <v>143</v>
      </c>
    </row>
    <row r="5" spans="1:6" ht="54.95" customHeight="1">
      <c r="A5" s="23" t="s">
        <v>144</v>
      </c>
      <c r="B5" s="24" t="s">
        <v>145</v>
      </c>
    </row>
    <row r="6" spans="1:6" ht="54.95" customHeight="1">
      <c r="A6" s="23" t="s">
        <v>146</v>
      </c>
      <c r="B6" s="24" t="s">
        <v>147</v>
      </c>
    </row>
    <row r="7" spans="1:6" ht="54.95" customHeight="1">
      <c r="A7" s="23" t="s">
        <v>148</v>
      </c>
      <c r="B7" s="24" t="s">
        <v>149</v>
      </c>
    </row>
    <row r="8" spans="1:6" ht="54.95" customHeight="1">
      <c r="A8" s="23" t="s">
        <v>150</v>
      </c>
      <c r="B8" s="24" t="s">
        <v>151</v>
      </c>
    </row>
    <row r="9" spans="1:6" ht="54.95" customHeight="1">
      <c r="A9" s="23" t="s">
        <v>152</v>
      </c>
      <c r="B9" s="24" t="s">
        <v>153</v>
      </c>
    </row>
    <row r="10" spans="1:6" ht="54.95" customHeight="1">
      <c r="A10" s="23" t="s">
        <v>154</v>
      </c>
      <c r="B10" s="24" t="s">
        <v>155</v>
      </c>
    </row>
    <row r="11" spans="1:6" ht="54.95" customHeight="1">
      <c r="A11" s="23" t="s">
        <v>156</v>
      </c>
      <c r="B11" s="24" t="s">
        <v>157</v>
      </c>
    </row>
    <row r="12" spans="1:6" ht="54.95" customHeight="1">
      <c r="A12" s="23" t="s">
        <v>158</v>
      </c>
      <c r="B12" s="24" t="s">
        <v>159</v>
      </c>
    </row>
    <row r="13" spans="1:6" ht="54.95" customHeight="1">
      <c r="A13" s="23" t="s">
        <v>160</v>
      </c>
      <c r="B13" s="24" t="s">
        <v>161</v>
      </c>
    </row>
    <row r="14" spans="1:6" ht="54.95" customHeight="1">
      <c r="A14" s="23" t="s">
        <v>162</v>
      </c>
      <c r="B14" s="24" t="s">
        <v>163</v>
      </c>
    </row>
    <row r="15" spans="1:6" ht="54.95" customHeight="1">
      <c r="A15" s="23" t="s">
        <v>164</v>
      </c>
      <c r="B15" s="24" t="s">
        <v>165</v>
      </c>
    </row>
    <row r="17" spans="1:2" ht="30">
      <c r="A17" s="53" t="s">
        <v>166</v>
      </c>
      <c r="B17" s="1" t="s">
        <v>167</v>
      </c>
    </row>
    <row r="18" spans="1:2" ht="29.25">
      <c r="A18" s="53" t="s">
        <v>168</v>
      </c>
      <c r="B18" s="1" t="s">
        <v>169</v>
      </c>
    </row>
    <row r="19" spans="1:2" ht="30">
      <c r="A19" s="53" t="s">
        <v>170</v>
      </c>
      <c r="B19" s="1" t="s">
        <v>171</v>
      </c>
    </row>
  </sheetData>
  <mergeCells count="1">
    <mergeCell ref="A1:B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43"/>
  <sheetViews>
    <sheetView topLeftCell="A34" workbookViewId="0">
      <selection sqref="A1:O1"/>
    </sheetView>
  </sheetViews>
  <sheetFormatPr defaultRowHeight="14.25"/>
  <cols>
    <col min="1" max="1" width="6" customWidth="1"/>
    <col min="2" max="2" width="22" customWidth="1"/>
    <col min="3" max="3" width="28" customWidth="1"/>
    <col min="4" max="4" width="30" customWidth="1"/>
    <col min="5" max="5" width="35" customWidth="1"/>
    <col min="6" max="6" width="24" customWidth="1"/>
    <col min="7" max="7" width="38" customWidth="1"/>
    <col min="8" max="8" width="34" customWidth="1"/>
    <col min="9" max="9" width="28" customWidth="1"/>
    <col min="10" max="10" width="34" customWidth="1"/>
    <col min="11" max="11" width="30" customWidth="1"/>
    <col min="12" max="12" width="32" customWidth="1"/>
    <col min="13" max="13" width="14" customWidth="1"/>
    <col min="14" max="14" width="16" customWidth="1"/>
    <col min="15" max="15" width="28" customWidth="1"/>
  </cols>
  <sheetData>
    <row r="1" spans="1:15" ht="30" customHeight="1">
      <c r="A1" s="69" t="s">
        <v>172</v>
      </c>
      <c r="B1" s="69"/>
      <c r="C1" s="69"/>
      <c r="D1" s="69"/>
      <c r="E1" s="69"/>
      <c r="F1" s="69"/>
      <c r="G1" s="69"/>
      <c r="H1" s="69"/>
      <c r="I1" s="69"/>
      <c r="J1" s="69"/>
      <c r="K1" s="69"/>
      <c r="L1" s="69"/>
      <c r="M1" s="69"/>
      <c r="N1" s="69"/>
      <c r="O1" s="69"/>
    </row>
    <row r="3" spans="1:15" ht="38.1" customHeight="1">
      <c r="A3" s="70" t="s">
        <v>173</v>
      </c>
      <c r="B3" s="70"/>
      <c r="C3" s="70"/>
      <c r="D3" s="70"/>
      <c r="E3" s="70"/>
      <c r="F3" s="70"/>
      <c r="G3" s="70"/>
      <c r="H3" s="70"/>
      <c r="I3" s="70"/>
      <c r="J3" s="70"/>
      <c r="K3" s="70"/>
      <c r="L3" s="70"/>
      <c r="M3" s="70"/>
      <c r="N3" s="70"/>
      <c r="O3" s="70"/>
    </row>
    <row r="4" spans="1:15" ht="42" customHeight="1">
      <c r="A4" s="71" t="s">
        <v>174</v>
      </c>
      <c r="B4" s="71"/>
      <c r="C4" s="71"/>
      <c r="D4" s="71"/>
      <c r="E4" s="71"/>
      <c r="F4" s="71"/>
      <c r="G4" s="71"/>
      <c r="H4" s="71"/>
      <c r="I4" s="71"/>
      <c r="J4" s="71"/>
      <c r="K4" s="71"/>
      <c r="L4" s="71"/>
      <c r="M4" s="71"/>
      <c r="N4" s="71"/>
      <c r="O4" s="71"/>
    </row>
    <row r="6" spans="1:15" ht="15">
      <c r="A6" s="26" t="s">
        <v>175</v>
      </c>
      <c r="B6" s="27" t="s">
        <v>176</v>
      </c>
    </row>
    <row r="7" spans="1:15">
      <c r="A7" s="28" t="s">
        <v>177</v>
      </c>
      <c r="B7" s="29">
        <f>COUNTIF(F11:F40,"Hoàn thành &amp; demo được")</f>
        <v>0</v>
      </c>
    </row>
    <row r="8" spans="1:15">
      <c r="A8" s="30" t="s">
        <v>178</v>
      </c>
      <c r="B8" s="31">
        <f>COUNTIF(M11:M40,"Có")</f>
        <v>0</v>
      </c>
    </row>
    <row r="10" spans="1:15" ht="48" customHeight="1">
      <c r="A10" s="32" t="s">
        <v>24</v>
      </c>
      <c r="B10" s="32" t="s">
        <v>179</v>
      </c>
      <c r="C10" s="32" t="s">
        <v>180</v>
      </c>
      <c r="D10" s="32" t="s">
        <v>181</v>
      </c>
      <c r="E10" s="32" t="s">
        <v>182</v>
      </c>
      <c r="F10" s="32" t="s">
        <v>99</v>
      </c>
      <c r="G10" s="32" t="s">
        <v>183</v>
      </c>
      <c r="H10" s="32" t="s">
        <v>184</v>
      </c>
      <c r="I10" s="32" t="s">
        <v>185</v>
      </c>
      <c r="J10" s="32" t="s">
        <v>186</v>
      </c>
      <c r="K10" s="32" t="s">
        <v>187</v>
      </c>
      <c r="L10" s="32" t="s">
        <v>188</v>
      </c>
      <c r="M10" s="32" t="s">
        <v>189</v>
      </c>
      <c r="N10" s="32" t="s">
        <v>190</v>
      </c>
      <c r="O10" s="32" t="s">
        <v>191</v>
      </c>
    </row>
    <row r="11" spans="1:15" ht="78" customHeight="1">
      <c r="A11" s="33">
        <v>1</v>
      </c>
      <c r="B11" s="36" t="s">
        <v>192</v>
      </c>
      <c r="C11" s="36" t="s">
        <v>193</v>
      </c>
      <c r="D11" s="36" t="s">
        <v>194</v>
      </c>
      <c r="E11" s="36" t="s">
        <v>195</v>
      </c>
      <c r="F11" s="44"/>
      <c r="G11" s="44"/>
      <c r="H11" s="44"/>
      <c r="I11" s="44"/>
      <c r="J11" s="44"/>
      <c r="K11" s="44"/>
      <c r="L11" s="44"/>
      <c r="M11" s="44"/>
      <c r="N11" s="45"/>
      <c r="O11" s="46"/>
    </row>
    <row r="12" spans="1:15" ht="78" customHeight="1">
      <c r="A12" s="34">
        <v>2</v>
      </c>
      <c r="B12" s="37" t="s">
        <v>192</v>
      </c>
      <c r="C12" s="37" t="s">
        <v>196</v>
      </c>
      <c r="D12" s="37" t="s">
        <v>197</v>
      </c>
      <c r="E12" s="37" t="s">
        <v>198</v>
      </c>
      <c r="F12" s="47"/>
      <c r="G12" s="47"/>
      <c r="H12" s="47"/>
      <c r="I12" s="47"/>
      <c r="J12" s="47"/>
      <c r="K12" s="47"/>
      <c r="L12" s="47"/>
      <c r="M12" s="47"/>
      <c r="N12" s="48"/>
      <c r="O12" s="49"/>
    </row>
    <row r="13" spans="1:15" ht="78" customHeight="1">
      <c r="A13" s="34">
        <v>3</v>
      </c>
      <c r="B13" s="37" t="s">
        <v>192</v>
      </c>
      <c r="C13" s="37" t="s">
        <v>199</v>
      </c>
      <c r="D13" s="37" t="s">
        <v>197</v>
      </c>
      <c r="E13" s="37" t="s">
        <v>200</v>
      </c>
      <c r="F13" s="47"/>
      <c r="G13" s="47"/>
      <c r="H13" s="47"/>
      <c r="I13" s="47"/>
      <c r="J13" s="47"/>
      <c r="K13" s="47"/>
      <c r="L13" s="47"/>
      <c r="M13" s="47"/>
      <c r="N13" s="48"/>
      <c r="O13" s="49"/>
    </row>
    <row r="14" spans="1:15" ht="78" customHeight="1">
      <c r="A14" s="34">
        <v>4</v>
      </c>
      <c r="B14" s="37" t="s">
        <v>192</v>
      </c>
      <c r="C14" s="37" t="s">
        <v>201</v>
      </c>
      <c r="D14" s="37" t="s">
        <v>197</v>
      </c>
      <c r="E14" s="37" t="s">
        <v>202</v>
      </c>
      <c r="F14" s="47"/>
      <c r="G14" s="47"/>
      <c r="H14" s="47"/>
      <c r="I14" s="47"/>
      <c r="J14" s="47"/>
      <c r="K14" s="47"/>
      <c r="L14" s="47"/>
      <c r="M14" s="47"/>
      <c r="N14" s="48"/>
      <c r="O14" s="49"/>
    </row>
    <row r="15" spans="1:15" ht="78" customHeight="1">
      <c r="A15" s="34">
        <v>5</v>
      </c>
      <c r="B15" s="37" t="s">
        <v>192</v>
      </c>
      <c r="C15" s="37" t="s">
        <v>203</v>
      </c>
      <c r="D15" s="37" t="s">
        <v>204</v>
      </c>
      <c r="E15" s="37" t="s">
        <v>205</v>
      </c>
      <c r="F15" s="47"/>
      <c r="G15" s="47"/>
      <c r="H15" s="47"/>
      <c r="I15" s="47"/>
      <c r="J15" s="47"/>
      <c r="K15" s="47"/>
      <c r="L15" s="47"/>
      <c r="M15" s="47"/>
      <c r="N15" s="48"/>
      <c r="O15" s="49"/>
    </row>
    <row r="16" spans="1:15" ht="78" customHeight="1">
      <c r="A16" s="34">
        <v>6</v>
      </c>
      <c r="B16" s="37" t="s">
        <v>192</v>
      </c>
      <c r="C16" s="37" t="s">
        <v>206</v>
      </c>
      <c r="D16" s="37" t="s">
        <v>207</v>
      </c>
      <c r="E16" s="37" t="s">
        <v>208</v>
      </c>
      <c r="F16" s="47"/>
      <c r="G16" s="47"/>
      <c r="H16" s="47"/>
      <c r="I16" s="47"/>
      <c r="J16" s="47"/>
      <c r="K16" s="47"/>
      <c r="L16" s="47"/>
      <c r="M16" s="47"/>
      <c r="N16" s="48"/>
      <c r="O16" s="49"/>
    </row>
    <row r="17" spans="1:15" ht="78" customHeight="1">
      <c r="A17" s="34">
        <v>7</v>
      </c>
      <c r="B17" s="37" t="s">
        <v>192</v>
      </c>
      <c r="C17" s="37" t="s">
        <v>209</v>
      </c>
      <c r="D17" s="37" t="s">
        <v>204</v>
      </c>
      <c r="E17" s="37" t="s">
        <v>210</v>
      </c>
      <c r="F17" s="47"/>
      <c r="G17" s="47"/>
      <c r="H17" s="47"/>
      <c r="I17" s="47"/>
      <c r="J17" s="47"/>
      <c r="K17" s="47"/>
      <c r="L17" s="47"/>
      <c r="M17" s="47"/>
      <c r="N17" s="48"/>
      <c r="O17" s="49"/>
    </row>
    <row r="18" spans="1:15" ht="78" customHeight="1">
      <c r="A18" s="34">
        <v>8</v>
      </c>
      <c r="B18" s="37" t="s">
        <v>192</v>
      </c>
      <c r="C18" s="37" t="s">
        <v>211</v>
      </c>
      <c r="D18" s="37" t="s">
        <v>204</v>
      </c>
      <c r="E18" s="37" t="s">
        <v>212</v>
      </c>
      <c r="F18" s="47"/>
      <c r="G18" s="47"/>
      <c r="H18" s="47"/>
      <c r="I18" s="47"/>
      <c r="J18" s="47"/>
      <c r="K18" s="47"/>
      <c r="L18" s="47"/>
      <c r="M18" s="47"/>
      <c r="N18" s="48"/>
      <c r="O18" s="49"/>
    </row>
    <row r="19" spans="1:15" ht="78" customHeight="1">
      <c r="A19" s="34">
        <v>9</v>
      </c>
      <c r="B19" s="37" t="s">
        <v>192</v>
      </c>
      <c r="C19" s="37" t="s">
        <v>213</v>
      </c>
      <c r="D19" s="37" t="s">
        <v>204</v>
      </c>
      <c r="E19" s="37" t="s">
        <v>214</v>
      </c>
      <c r="F19" s="47"/>
      <c r="G19" s="47"/>
      <c r="H19" s="47"/>
      <c r="I19" s="47"/>
      <c r="J19" s="47"/>
      <c r="K19" s="47"/>
      <c r="L19" s="47"/>
      <c r="M19" s="47"/>
      <c r="N19" s="48"/>
      <c r="O19" s="49"/>
    </row>
    <row r="20" spans="1:15" ht="78" customHeight="1">
      <c r="A20" s="34">
        <v>10</v>
      </c>
      <c r="B20" s="38" t="s">
        <v>215</v>
      </c>
      <c r="C20" s="38" t="s">
        <v>216</v>
      </c>
      <c r="D20" s="38" t="s">
        <v>217</v>
      </c>
      <c r="E20" s="38" t="s">
        <v>218</v>
      </c>
      <c r="F20" s="47"/>
      <c r="G20" s="47"/>
      <c r="H20" s="47"/>
      <c r="I20" s="47"/>
      <c r="J20" s="47"/>
      <c r="K20" s="47"/>
      <c r="L20" s="47"/>
      <c r="M20" s="47"/>
      <c r="N20" s="48"/>
      <c r="O20" s="49"/>
    </row>
    <row r="21" spans="1:15" ht="78" customHeight="1">
      <c r="A21" s="34">
        <v>11</v>
      </c>
      <c r="B21" s="38" t="s">
        <v>215</v>
      </c>
      <c r="C21" s="38" t="s">
        <v>219</v>
      </c>
      <c r="D21" s="38" t="s">
        <v>217</v>
      </c>
      <c r="E21" s="38" t="s">
        <v>220</v>
      </c>
      <c r="F21" s="47"/>
      <c r="G21" s="47"/>
      <c r="H21" s="47"/>
      <c r="I21" s="47"/>
      <c r="J21" s="47"/>
      <c r="K21" s="47"/>
      <c r="L21" s="47"/>
      <c r="M21" s="47"/>
      <c r="N21" s="48"/>
      <c r="O21" s="49"/>
    </row>
    <row r="22" spans="1:15" ht="78" customHeight="1">
      <c r="A22" s="34">
        <v>12</v>
      </c>
      <c r="B22" s="38" t="s">
        <v>215</v>
      </c>
      <c r="C22" s="38" t="s">
        <v>221</v>
      </c>
      <c r="D22" s="38" t="s">
        <v>217</v>
      </c>
      <c r="E22" s="38" t="s">
        <v>222</v>
      </c>
      <c r="F22" s="47"/>
      <c r="G22" s="47"/>
      <c r="H22" s="47"/>
      <c r="I22" s="47"/>
      <c r="J22" s="47"/>
      <c r="K22" s="47"/>
      <c r="L22" s="47"/>
      <c r="M22" s="47"/>
      <c r="N22" s="48"/>
      <c r="O22" s="49"/>
    </row>
    <row r="23" spans="1:15" ht="78" customHeight="1">
      <c r="A23" s="34">
        <v>13</v>
      </c>
      <c r="B23" s="38" t="s">
        <v>215</v>
      </c>
      <c r="C23" s="38" t="s">
        <v>223</v>
      </c>
      <c r="D23" s="38" t="s">
        <v>217</v>
      </c>
      <c r="E23" s="38" t="s">
        <v>224</v>
      </c>
      <c r="F23" s="47"/>
      <c r="G23" s="47"/>
      <c r="H23" s="47"/>
      <c r="I23" s="47"/>
      <c r="J23" s="47"/>
      <c r="K23" s="47"/>
      <c r="L23" s="47"/>
      <c r="M23" s="47"/>
      <c r="N23" s="48"/>
      <c r="O23" s="49"/>
    </row>
    <row r="24" spans="1:15" ht="78" customHeight="1">
      <c r="A24" s="34">
        <v>14</v>
      </c>
      <c r="B24" s="38" t="s">
        <v>215</v>
      </c>
      <c r="C24" s="38" t="s">
        <v>225</v>
      </c>
      <c r="D24" s="38" t="s">
        <v>217</v>
      </c>
      <c r="E24" s="38" t="s">
        <v>226</v>
      </c>
      <c r="F24" s="47"/>
      <c r="G24" s="47"/>
      <c r="H24" s="47"/>
      <c r="I24" s="47"/>
      <c r="J24" s="47"/>
      <c r="K24" s="47"/>
      <c r="L24" s="47"/>
      <c r="M24" s="47"/>
      <c r="N24" s="48"/>
      <c r="O24" s="49"/>
    </row>
    <row r="25" spans="1:15" ht="78" customHeight="1">
      <c r="A25" s="34">
        <v>15</v>
      </c>
      <c r="B25" s="39" t="s">
        <v>227</v>
      </c>
      <c r="C25" s="39" t="s">
        <v>228</v>
      </c>
      <c r="D25" s="39" t="s">
        <v>217</v>
      </c>
      <c r="E25" s="39" t="s">
        <v>229</v>
      </c>
      <c r="F25" s="47"/>
      <c r="G25" s="47"/>
      <c r="H25" s="47"/>
      <c r="I25" s="47"/>
      <c r="J25" s="47"/>
      <c r="K25" s="47"/>
      <c r="L25" s="47"/>
      <c r="M25" s="47"/>
      <c r="N25" s="48"/>
      <c r="O25" s="49"/>
    </row>
    <row r="26" spans="1:15" ht="78" customHeight="1">
      <c r="A26" s="34">
        <v>16</v>
      </c>
      <c r="B26" s="39" t="s">
        <v>227</v>
      </c>
      <c r="C26" s="39" t="s">
        <v>230</v>
      </c>
      <c r="D26" s="39" t="s">
        <v>231</v>
      </c>
      <c r="E26" s="39" t="s">
        <v>232</v>
      </c>
      <c r="F26" s="47"/>
      <c r="G26" s="47"/>
      <c r="H26" s="47"/>
      <c r="I26" s="47"/>
      <c r="J26" s="47"/>
      <c r="K26" s="47"/>
      <c r="L26" s="47"/>
      <c r="M26" s="47"/>
      <c r="N26" s="48"/>
      <c r="O26" s="49"/>
    </row>
    <row r="27" spans="1:15" ht="78" customHeight="1">
      <c r="A27" s="34">
        <v>17</v>
      </c>
      <c r="B27" s="40" t="s">
        <v>233</v>
      </c>
      <c r="C27" s="40" t="s">
        <v>234</v>
      </c>
      <c r="D27" s="40" t="s">
        <v>235</v>
      </c>
      <c r="E27" s="40" t="s">
        <v>236</v>
      </c>
      <c r="F27" s="47"/>
      <c r="G27" s="47"/>
      <c r="H27" s="47"/>
      <c r="I27" s="47"/>
      <c r="J27" s="47"/>
      <c r="K27" s="47"/>
      <c r="L27" s="47"/>
      <c r="M27" s="47"/>
      <c r="N27" s="48"/>
      <c r="O27" s="49"/>
    </row>
    <row r="28" spans="1:15" ht="78" customHeight="1">
      <c r="A28" s="34">
        <v>18</v>
      </c>
      <c r="B28" s="40" t="s">
        <v>233</v>
      </c>
      <c r="C28" s="40" t="s">
        <v>237</v>
      </c>
      <c r="D28" s="40" t="s">
        <v>217</v>
      </c>
      <c r="E28" s="40" t="s">
        <v>238</v>
      </c>
      <c r="F28" s="47"/>
      <c r="G28" s="47"/>
      <c r="H28" s="47"/>
      <c r="I28" s="47"/>
      <c r="J28" s="47"/>
      <c r="K28" s="47"/>
      <c r="L28" s="47"/>
      <c r="M28" s="47"/>
      <c r="N28" s="48"/>
      <c r="O28" s="49"/>
    </row>
    <row r="29" spans="1:15" ht="78" customHeight="1">
      <c r="A29" s="34">
        <v>19</v>
      </c>
      <c r="B29" s="40" t="s">
        <v>233</v>
      </c>
      <c r="C29" s="40" t="s">
        <v>239</v>
      </c>
      <c r="D29" s="40" t="s">
        <v>217</v>
      </c>
      <c r="E29" s="40" t="s">
        <v>240</v>
      </c>
      <c r="F29" s="47"/>
      <c r="G29" s="47"/>
      <c r="H29" s="47"/>
      <c r="I29" s="47"/>
      <c r="J29" s="47"/>
      <c r="K29" s="47"/>
      <c r="L29" s="47"/>
      <c r="M29" s="47"/>
      <c r="N29" s="48"/>
      <c r="O29" s="49"/>
    </row>
    <row r="30" spans="1:15" ht="78" customHeight="1">
      <c r="A30" s="34">
        <v>20</v>
      </c>
      <c r="B30" s="41" t="s">
        <v>241</v>
      </c>
      <c r="C30" s="41" t="s">
        <v>242</v>
      </c>
      <c r="D30" s="41" t="s">
        <v>217</v>
      </c>
      <c r="E30" s="41" t="s">
        <v>243</v>
      </c>
      <c r="F30" s="47"/>
      <c r="G30" s="47"/>
      <c r="H30" s="47"/>
      <c r="I30" s="47"/>
      <c r="J30" s="47"/>
      <c r="K30" s="47"/>
      <c r="L30" s="47"/>
      <c r="M30" s="47"/>
      <c r="N30" s="48"/>
      <c r="O30" s="49"/>
    </row>
    <row r="31" spans="1:15" ht="78" customHeight="1">
      <c r="A31" s="34">
        <v>21</v>
      </c>
      <c r="B31" s="41" t="s">
        <v>241</v>
      </c>
      <c r="C31" s="41" t="s">
        <v>244</v>
      </c>
      <c r="D31" s="41" t="s">
        <v>217</v>
      </c>
      <c r="E31" s="41" t="s">
        <v>245</v>
      </c>
      <c r="F31" s="47"/>
      <c r="G31" s="47"/>
      <c r="H31" s="47"/>
      <c r="I31" s="47"/>
      <c r="J31" s="47"/>
      <c r="K31" s="47"/>
      <c r="L31" s="47"/>
      <c r="M31" s="47"/>
      <c r="N31" s="48"/>
      <c r="O31" s="49"/>
    </row>
    <row r="32" spans="1:15" ht="78" customHeight="1">
      <c r="A32" s="34">
        <v>22</v>
      </c>
      <c r="B32" s="41" t="s">
        <v>241</v>
      </c>
      <c r="C32" s="41" t="s">
        <v>246</v>
      </c>
      <c r="D32" s="41" t="s">
        <v>247</v>
      </c>
      <c r="E32" s="41" t="s">
        <v>248</v>
      </c>
      <c r="F32" s="47"/>
      <c r="G32" s="47"/>
      <c r="H32" s="47"/>
      <c r="I32" s="47"/>
      <c r="J32" s="47"/>
      <c r="K32" s="47"/>
      <c r="L32" s="47"/>
      <c r="M32" s="47"/>
      <c r="N32" s="48"/>
      <c r="O32" s="49"/>
    </row>
    <row r="33" spans="1:15" ht="78" customHeight="1">
      <c r="A33" s="34">
        <v>23</v>
      </c>
      <c r="B33" s="41" t="s">
        <v>241</v>
      </c>
      <c r="C33" s="41" t="s">
        <v>249</v>
      </c>
      <c r="D33" s="41" t="s">
        <v>217</v>
      </c>
      <c r="E33" s="41" t="s">
        <v>250</v>
      </c>
      <c r="F33" s="47"/>
      <c r="G33" s="47"/>
      <c r="H33" s="47"/>
      <c r="I33" s="47"/>
      <c r="J33" s="47"/>
      <c r="K33" s="47"/>
      <c r="L33" s="47"/>
      <c r="M33" s="47"/>
      <c r="N33" s="48"/>
      <c r="O33" s="49"/>
    </row>
    <row r="34" spans="1:15" ht="78" customHeight="1">
      <c r="A34" s="34">
        <v>24</v>
      </c>
      <c r="B34" s="41" t="s">
        <v>241</v>
      </c>
      <c r="C34" s="41" t="s">
        <v>251</v>
      </c>
      <c r="D34" s="41" t="s">
        <v>217</v>
      </c>
      <c r="E34" s="41" t="s">
        <v>252</v>
      </c>
      <c r="F34" s="47"/>
      <c r="G34" s="47"/>
      <c r="H34" s="47"/>
      <c r="I34" s="47"/>
      <c r="J34" s="47"/>
      <c r="K34" s="47"/>
      <c r="L34" s="47"/>
      <c r="M34" s="47"/>
      <c r="N34" s="48"/>
      <c r="O34" s="49"/>
    </row>
    <row r="35" spans="1:15" ht="78" customHeight="1">
      <c r="A35" s="34">
        <v>25</v>
      </c>
      <c r="B35" s="41" t="s">
        <v>241</v>
      </c>
      <c r="C35" s="41" t="s">
        <v>253</v>
      </c>
      <c r="D35" s="41" t="s">
        <v>217</v>
      </c>
      <c r="E35" s="41" t="s">
        <v>254</v>
      </c>
      <c r="F35" s="47"/>
      <c r="G35" s="47"/>
      <c r="H35" s="47"/>
      <c r="I35" s="47"/>
      <c r="J35" s="47"/>
      <c r="K35" s="47"/>
      <c r="L35" s="47"/>
      <c r="M35" s="47"/>
      <c r="N35" s="48"/>
      <c r="O35" s="49"/>
    </row>
    <row r="36" spans="1:15" ht="78" customHeight="1">
      <c r="A36" s="34">
        <v>26</v>
      </c>
      <c r="B36" s="41" t="s">
        <v>241</v>
      </c>
      <c r="C36" s="41" t="s">
        <v>255</v>
      </c>
      <c r="D36" s="41" t="s">
        <v>256</v>
      </c>
      <c r="E36" s="41" t="s">
        <v>257</v>
      </c>
      <c r="F36" s="47"/>
      <c r="G36" s="47"/>
      <c r="H36" s="47"/>
      <c r="I36" s="47"/>
      <c r="J36" s="47"/>
      <c r="K36" s="47"/>
      <c r="L36" s="47"/>
      <c r="M36" s="47"/>
      <c r="N36" s="48"/>
      <c r="O36" s="49"/>
    </row>
    <row r="37" spans="1:15" ht="78" customHeight="1">
      <c r="A37" s="34">
        <v>27</v>
      </c>
      <c r="B37" s="42" t="s">
        <v>258</v>
      </c>
      <c r="C37" s="42" t="s">
        <v>259</v>
      </c>
      <c r="D37" s="42" t="s">
        <v>260</v>
      </c>
      <c r="E37" s="42" t="s">
        <v>261</v>
      </c>
      <c r="F37" s="47"/>
      <c r="G37" s="47"/>
      <c r="H37" s="47"/>
      <c r="I37" s="47"/>
      <c r="J37" s="47"/>
      <c r="K37" s="47"/>
      <c r="L37" s="47"/>
      <c r="M37" s="47"/>
      <c r="N37" s="48"/>
      <c r="O37" s="49"/>
    </row>
    <row r="38" spans="1:15" ht="78" customHeight="1">
      <c r="A38" s="34">
        <v>28</v>
      </c>
      <c r="B38" s="42" t="s">
        <v>258</v>
      </c>
      <c r="C38" s="42" t="s">
        <v>262</v>
      </c>
      <c r="D38" s="42" t="s">
        <v>260</v>
      </c>
      <c r="E38" s="42" t="s">
        <v>261</v>
      </c>
      <c r="F38" s="47"/>
      <c r="G38" s="47"/>
      <c r="H38" s="47"/>
      <c r="I38" s="47"/>
      <c r="J38" s="47"/>
      <c r="K38" s="47"/>
      <c r="L38" s="47"/>
      <c r="M38" s="47"/>
      <c r="N38" s="48"/>
      <c r="O38" s="49"/>
    </row>
    <row r="39" spans="1:15" ht="78" customHeight="1">
      <c r="A39" s="34">
        <v>29</v>
      </c>
      <c r="B39" s="42" t="s">
        <v>258</v>
      </c>
      <c r="C39" s="42" t="s">
        <v>263</v>
      </c>
      <c r="D39" s="42" t="s">
        <v>260</v>
      </c>
      <c r="E39" s="42" t="s">
        <v>261</v>
      </c>
      <c r="F39" s="47"/>
      <c r="G39" s="47"/>
      <c r="H39" s="47"/>
      <c r="I39" s="47"/>
      <c r="J39" s="47"/>
      <c r="K39" s="47"/>
      <c r="L39" s="47"/>
      <c r="M39" s="47"/>
      <c r="N39" s="48"/>
      <c r="O39" s="49"/>
    </row>
    <row r="40" spans="1:15" ht="78" customHeight="1">
      <c r="A40" s="35">
        <v>30</v>
      </c>
      <c r="B40" s="43" t="s">
        <v>258</v>
      </c>
      <c r="C40" s="43" t="s">
        <v>264</v>
      </c>
      <c r="D40" s="43" t="s">
        <v>260</v>
      </c>
      <c r="E40" s="43" t="s">
        <v>261</v>
      </c>
      <c r="F40" s="50"/>
      <c r="G40" s="50"/>
      <c r="H40" s="50"/>
      <c r="I40" s="50"/>
      <c r="J40" s="50"/>
      <c r="K40" s="50"/>
      <c r="L40" s="50"/>
      <c r="M40" s="50"/>
      <c r="N40" s="51"/>
      <c r="O40" s="52"/>
    </row>
    <row r="42" spans="1:15" ht="42" customHeight="1">
      <c r="A42" s="72" t="s">
        <v>265</v>
      </c>
      <c r="B42" s="72"/>
      <c r="C42" s="72"/>
      <c r="D42" s="72"/>
      <c r="E42" s="72"/>
      <c r="F42" s="72"/>
      <c r="G42" s="72"/>
      <c r="H42" s="72"/>
      <c r="I42" s="72"/>
      <c r="J42" s="72"/>
      <c r="K42" s="72"/>
      <c r="L42" s="72"/>
      <c r="M42" s="72"/>
      <c r="N42" s="72"/>
      <c r="O42" s="72"/>
    </row>
    <row r="43" spans="1:15" ht="33.950000000000003" customHeight="1">
      <c r="A43" s="73" t="s">
        <v>266</v>
      </c>
      <c r="B43" s="73"/>
      <c r="C43" s="73"/>
      <c r="D43" s="73"/>
      <c r="E43" s="73"/>
      <c r="F43" s="73"/>
      <c r="G43" s="73"/>
      <c r="H43" s="73"/>
      <c r="I43" s="73"/>
      <c r="J43" s="73"/>
      <c r="K43" s="73"/>
      <c r="L43" s="73"/>
      <c r="M43" s="73"/>
      <c r="N43" s="73"/>
      <c r="O43" s="73"/>
    </row>
  </sheetData>
  <mergeCells count="5">
    <mergeCell ref="A1:O1"/>
    <mergeCell ref="A3:O3"/>
    <mergeCell ref="A4:O4"/>
    <mergeCell ref="A42:O42"/>
    <mergeCell ref="A43:O43"/>
  </mergeCells>
  <conditionalFormatting sqref="F11:F40">
    <cfRule type="expression" dxfId="4" priority="1">
      <formula>F11="Hoàn thành &amp; demo được"</formula>
    </cfRule>
    <cfRule type="expression" dxfId="3" priority="2">
      <formula>F11="Hoàn thành nhưng chưa demo"</formula>
    </cfRule>
    <cfRule type="expression" dxfId="2" priority="3">
      <formula>F11="Chưa làm"</formula>
    </cfRule>
  </conditionalFormatting>
  <conditionalFormatting sqref="M11:M40">
    <cfRule type="expression" dxfId="1" priority="4">
      <formula>M11="Có"</formula>
    </cfRule>
    <cfRule type="expression" dxfId="0" priority="5">
      <formula>M11="Không"</formula>
    </cfRule>
  </conditionalFormatting>
  <conditionalFormatting sqref="N11:N40">
    <cfRule type="colorScale" priority="6">
      <colorScale>
        <cfvo type="min"/>
        <cfvo type="percentile" val="50"/>
        <cfvo type="max"/>
        <color rgb="FFF4CCCC"/>
        <color rgb="FFFFE599"/>
        <color rgb="FFB6D7A8"/>
      </colorScale>
    </cfRule>
  </conditionalFormatting>
  <dataValidations count="3">
    <dataValidation type="list" sqref="F11:F40" xr:uid="{00000000-0002-0000-0400-000000000000}">
      <formula1>"Chưa làm,Đang làm,Hoàn thành nhưng chưa demo,Hoàn thành &amp; demo được"</formula1>
    </dataValidation>
    <dataValidation type="list" sqref="M11:M40" xr:uid="{00000000-0002-0000-0400-000001000000}">
      <formula1>"Không,Có"</formula1>
    </dataValidation>
    <dataValidation type="list" sqref="N11:N40" xr:uid="{00000000-0002-0000-0400-000002000000}">
      <formula1>"0,1,2,3"</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5</vt:i4>
      </vt:variant>
    </vt:vector>
  </HeadingPairs>
  <TitlesOfParts>
    <vt:vector size="5" baseType="lpstr">
      <vt:lpstr>1_TU_DANH_GIA</vt:lpstr>
      <vt:lpstr>2_THANH_VIEN</vt:lpstr>
      <vt:lpstr>3_CHECKLIST_DEMO</vt:lpstr>
      <vt:lpstr>4_HUONG_DAN</vt:lpstr>
      <vt:lpstr>5_DIEM_CONG_NANG_CAO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tvquy</dc:creator>
  <cp:lastModifiedBy>Tran Van Quy</cp:lastModifiedBy>
  <dcterms:modified xsi:type="dcterms:W3CDTF">2026-09-03T22:59:11Z</dcterms:modified>
</cp:coreProperties>
</file>